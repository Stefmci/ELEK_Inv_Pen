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axec\Documents\Studium\4. Semester\Elektronische Produktentwicklung I\ELEK_Inv_Pen\Komponenten und Auslegung\"/>
    </mc:Choice>
  </mc:AlternateContent>
  <xr:revisionPtr revIDLastSave="0" documentId="13_ncr:1_{148A64DF-B4B9-4866-87C4-4A23C665D89D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Bestellliste" sheetId="3" r:id="rId1"/>
    <sheet name="Übliche Händler" sheetId="5" r:id="rId2"/>
    <sheet name="Beispiel" sheetId="7" r:id="rId3"/>
    <sheet name="Beschreibung-Spalten" sheetId="6" r:id="rId4"/>
  </sheets>
  <definedNames>
    <definedName name="_xlnm._FilterDatabase" localSheetId="2" hidden="1">Beispiel!$B$3:$O$7</definedName>
    <definedName name="_xlnm._FilterDatabase" localSheetId="0" hidden="1">Bestellliste!$B$3:$O$4</definedName>
    <definedName name="_xlnm._FilterDatabase" localSheetId="1" hidden="1">'Übliche Händler'!$B$3:$G$47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3" i="3" l="1"/>
  <c r="I15" i="3"/>
  <c r="I8" i="3"/>
  <c r="K8" i="3" s="1"/>
  <c r="L8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7" i="3"/>
  <c r="L7" i="3" s="1"/>
  <c r="K6" i="3"/>
  <c r="L6" i="3" s="1"/>
  <c r="K5" i="3"/>
  <c r="L5" i="3" s="1"/>
  <c r="K4" i="3"/>
  <c r="L4" i="3" s="1"/>
  <c r="K8" i="7"/>
  <c r="L8" i="7" s="1"/>
  <c r="N7" i="7"/>
  <c r="K7" i="7"/>
  <c r="L7" i="7" s="1"/>
  <c r="N6" i="7"/>
  <c r="N10" i="7" s="1"/>
  <c r="K6" i="7"/>
  <c r="L6" i="7" s="1"/>
  <c r="K5" i="7"/>
  <c r="K4" i="7"/>
  <c r="L4" i="7" s="1"/>
  <c r="K10" i="7" l="1"/>
  <c r="L5" i="7"/>
  <c r="L10" i="7" s="1"/>
  <c r="N55" i="3" l="1"/>
  <c r="K55" i="3"/>
  <c r="L55" i="3"/>
</calcChain>
</file>

<file path=xl/sharedStrings.xml><?xml version="1.0" encoding="utf-8"?>
<sst xmlns="http://schemas.openxmlformats.org/spreadsheetml/2006/main" count="549" uniqueCount="349">
  <si>
    <t>Best.</t>
  </si>
  <si>
    <t>Gegenstand</t>
  </si>
  <si>
    <t>Händler</t>
  </si>
  <si>
    <t>Artikelnummer</t>
  </si>
  <si>
    <t>Link</t>
  </si>
  <si>
    <t>Anzahl</t>
  </si>
  <si>
    <t>Länge in m</t>
  </si>
  <si>
    <t>Brutto pro VE</t>
  </si>
  <si>
    <t>Netto pro VE</t>
  </si>
  <si>
    <t>Brutto ges.</t>
  </si>
  <si>
    <t>Netto ges.</t>
  </si>
  <si>
    <t>kg/m</t>
  </si>
  <si>
    <t>Masse in kg</t>
  </si>
  <si>
    <t>Notiz</t>
  </si>
  <si>
    <t>Summe</t>
  </si>
  <si>
    <t>Beschreibung</t>
  </si>
  <si>
    <t>Angebot notwendig?</t>
  </si>
  <si>
    <t>Kategorie</t>
  </si>
  <si>
    <t>Alcom</t>
  </si>
  <si>
    <t>item-Profile &amp; Verbinder</t>
  </si>
  <si>
    <t>JA</t>
  </si>
  <si>
    <t>https://www.alcom-international.de/baukastensystem.html</t>
  </si>
  <si>
    <t>Mechanisch</t>
  </si>
  <si>
    <t>selbe Firma wie SMT</t>
  </si>
  <si>
    <t>Amazon</t>
  </si>
  <si>
    <t>Diverses</t>
  </si>
  <si>
    <t>NEIN</t>
  </si>
  <si>
    <t>https://amazon.de</t>
  </si>
  <si>
    <t>Bestellung nur möglich, wenn Händler eine ordentliche Rechnung stellen kann</t>
  </si>
  <si>
    <t>Bauhaus</t>
  </si>
  <si>
    <t>Baumarkt</t>
  </si>
  <si>
    <t>https://www.bauhaus.at/</t>
  </si>
  <si>
    <t>Bar bezahlen &amp; Spesenabrechnung</t>
  </si>
  <si>
    <t>CNCShop</t>
  </si>
  <si>
    <t>CNC-Komponenten</t>
  </si>
  <si>
    <t>https://www.cncshop.at/</t>
  </si>
  <si>
    <t>Conrad</t>
  </si>
  <si>
    <t>Elektrokomponenten</t>
  </si>
  <si>
    <t>https://www.conrad.at/</t>
  </si>
  <si>
    <t>Elektrisch</t>
  </si>
  <si>
    <t>Contorion</t>
  </si>
  <si>
    <t>Werkzeug, Betriebsausstattung, etc.</t>
  </si>
  <si>
    <t>https://www.contorion.at/</t>
  </si>
  <si>
    <t>Digikey</t>
  </si>
  <si>
    <t>https://www.digikey.at/</t>
  </si>
  <si>
    <t>Distrelec</t>
  </si>
  <si>
    <t>https://www.distrelec.at/</t>
  </si>
  <si>
    <t>DOLD Mechatronik</t>
  </si>
  <si>
    <t>item-Profile, Motoren, etc.</t>
  </si>
  <si>
    <t>https://www.dold-mechatronik.de/</t>
  </si>
  <si>
    <t>Eckstein Komponenten</t>
  </si>
  <si>
    <t>https://eckstein-shop.de/Startseite</t>
  </si>
  <si>
    <t>Elesa+Ganter</t>
  </si>
  <si>
    <t>Maschinenelemente, Normteile, etc.</t>
  </si>
  <si>
    <t>https://www.elesa-ganter.at/de/aut</t>
  </si>
  <si>
    <t>ELV Elektronik</t>
  </si>
  <si>
    <t>https://de.elv.com/</t>
  </si>
  <si>
    <t>Eurocircuits</t>
  </si>
  <si>
    <t>PCBs &amp; Bestückung</t>
  </si>
  <si>
    <t>https://www.eurocircuits.com/</t>
  </si>
  <si>
    <t>faigle Kunststoffe</t>
  </si>
  <si>
    <t>Plexiglas/PMMA</t>
  </si>
  <si>
    <t>https://www.faigle.com/en</t>
  </si>
  <si>
    <t>Fix Metall</t>
  </si>
  <si>
    <t>Fe- &amp; Nicht-Fe-Metalle, Zuschnitt</t>
  </si>
  <si>
    <t>https://www.fixmetall-shop.com/</t>
  </si>
  <si>
    <t>Funkenflug</t>
  </si>
  <si>
    <t>Laserteile</t>
  </si>
  <si>
    <t>https://www.funkenflug.co.at/</t>
  </si>
  <si>
    <t>in Kematen</t>
  </si>
  <si>
    <t>Gemmel Metalle</t>
  </si>
  <si>
    <t>https://www.gemmel-metalle.de/</t>
  </si>
  <si>
    <t>gezogene Al-Wellen</t>
  </si>
  <si>
    <t>Haberkorn</t>
  </si>
  <si>
    <t>Maschinenelemente, item-Profile, etc.</t>
  </si>
  <si>
    <t>https://www.haberkorn.com/</t>
  </si>
  <si>
    <t>Preise nur mit MCI Account sichtbar</t>
  </si>
  <si>
    <t>Hoffmann</t>
  </si>
  <si>
    <t>https://www.hoffmann-group.com/AT/de/hoa/</t>
  </si>
  <si>
    <t>IBL Sägeservice</t>
  </si>
  <si>
    <t>https://shop.ibl-raimund.de/</t>
  </si>
  <si>
    <t>Köllensperger</t>
  </si>
  <si>
    <t>Stahl, Zuschnitt</t>
  </si>
  <si>
    <t>https://www.koellensperger-stahl.at/</t>
  </si>
  <si>
    <t>Kugellager Express</t>
  </si>
  <si>
    <t>Kugellager</t>
  </si>
  <si>
    <t>https://www.kugellager-express.de/</t>
  </si>
  <si>
    <t>günstig, aber qualitativ schlechter</t>
  </si>
  <si>
    <t>maunsystem</t>
  </si>
  <si>
    <t>item-Profile &amp; Verbinder, Kunststoffplatten, etc.</t>
  </si>
  <si>
    <t>https://www.maunsystem.de/</t>
  </si>
  <si>
    <t>Metall Fachhandel</t>
  </si>
  <si>
    <t>Nicht-Fe-Metalle, Zuschnitt</t>
  </si>
  <si>
    <t>https://metall-fachhandel.de/</t>
  </si>
  <si>
    <t>Metzler</t>
  </si>
  <si>
    <t>https://www.metzler.at/</t>
  </si>
  <si>
    <t>Misumi</t>
  </si>
  <si>
    <t>https://de.misumi-ec.com</t>
  </si>
  <si>
    <t>Mouser</t>
  </si>
  <si>
    <t>https://www.mouser.at/</t>
  </si>
  <si>
    <t>norelem</t>
  </si>
  <si>
    <t>https://norelem.de/de/</t>
  </si>
  <si>
    <t>Obi</t>
  </si>
  <si>
    <t>https://www.obi.at/</t>
  </si>
  <si>
    <t>Panta-Shop</t>
  </si>
  <si>
    <t>https://www.kugellager-panta.de/home-vm</t>
  </si>
  <si>
    <t>Plexcom</t>
  </si>
  <si>
    <t>https://www.plexcom.at/</t>
  </si>
  <si>
    <t>Pointner Metallverarbeitung</t>
  </si>
  <si>
    <t>https://www.pointner.cc/#</t>
  </si>
  <si>
    <t>Schwaz</t>
  </si>
  <si>
    <t>Ragg</t>
  </si>
  <si>
    <t>https://www.ragg-stahlhandel.com/</t>
  </si>
  <si>
    <t>Reichelt</t>
  </si>
  <si>
    <t>https://www.reichelt.at/</t>
  </si>
  <si>
    <t>Robotshop</t>
  </si>
  <si>
    <t>https://eu.robotshop.com/de</t>
  </si>
  <si>
    <t>RS Components</t>
  </si>
  <si>
    <t>Elektro- &amp; Mechanische Komponenten</t>
  </si>
  <si>
    <t>https://at.rs-online.com/web/</t>
  </si>
  <si>
    <t>Vielfach Zustellung am nächsten/übernächsten Tag</t>
  </si>
  <si>
    <t>Schrauben TB</t>
  </si>
  <si>
    <t>Schrauben</t>
  </si>
  <si>
    <t>https://shop.schrauben-tb.at/</t>
  </si>
  <si>
    <t>SMT</t>
  </si>
  <si>
    <t>https://www.smt-montagetechnik.de/produkte/</t>
  </si>
  <si>
    <t>selbe Firma wie Alcom</t>
  </si>
  <si>
    <t>S-Polytec</t>
  </si>
  <si>
    <t>Kunststoffplatten</t>
  </si>
  <si>
    <t>https://www.s-polytec.de/</t>
  </si>
  <si>
    <t>Stasto</t>
  </si>
  <si>
    <t>Pneumatik &amp; Hydraulik Zubehör</t>
  </si>
  <si>
    <t>https://www.stasto.eu/</t>
  </si>
  <si>
    <t>Top Maschinen</t>
  </si>
  <si>
    <t>Maschinen</t>
  </si>
  <si>
    <t>https://www.top-maschinen.de/</t>
  </si>
  <si>
    <t>WDS Components</t>
  </si>
  <si>
    <t>https://www.wdscomponents.com/de</t>
  </si>
  <si>
    <t>aus UK</t>
  </si>
  <si>
    <t>Werkzeugprofi Köchl</t>
  </si>
  <si>
    <t>Fräs-/Drehwerkzeuge</t>
  </si>
  <si>
    <t>https://www.werkzeug-profi.at/</t>
  </si>
  <si>
    <t>in Birgitz</t>
  </si>
  <si>
    <t>Würth</t>
  </si>
  <si>
    <t>Betriebsaustattung, Maschinenelemente, etc.</t>
  </si>
  <si>
    <t>https://eshop.wuerth.at/de/DE/EUR/</t>
  </si>
  <si>
    <t>Mutter aus Onlineshop, Tochter über Angebot</t>
  </si>
  <si>
    <t>RFM</t>
  </si>
  <si>
    <t>Pt100 4-Leiter</t>
  </si>
  <si>
    <t>1579097 - 62</t>
  </si>
  <si>
    <t>https://www.conrad.at/de/p/sontec-tt6-045-a-a-4l-s-2-0-ade-pt100-temperaturfuehler-40-bis-180-c-1579097.html</t>
  </si>
  <si>
    <t>Cuttermesser</t>
  </si>
  <si>
    <t>1339848 - 62</t>
  </si>
  <si>
    <t>https://www.conrad.at/de/p/cuttermesser-c-k-t0951-1-st-1339848.html</t>
  </si>
  <si>
    <t>MÄW</t>
  </si>
  <si>
    <t>Aluprofil 8 80x40 schwer</t>
  </si>
  <si>
    <t>Z12685</t>
  </si>
  <si>
    <t>https://www.haberkorn.com/item-profilsysteme/mb-systembaukasten/profile-und-zubehoer/konstruktionsprofil/1093819-konstruktionsprofil-8-rastermass-40-mm?partNumber=Z12685</t>
  </si>
  <si>
    <t>BFD</t>
  </si>
  <si>
    <t>Cap 0603 10V 3900p</t>
  </si>
  <si>
    <t>581-06035C392K</t>
  </si>
  <si>
    <t>https://mou.sr/3H4Pt14</t>
  </si>
  <si>
    <t>1 Stk pro PCB</t>
  </si>
  <si>
    <t>Spalte</t>
  </si>
  <si>
    <t>Name</t>
  </si>
  <si>
    <t>Kürzel des Projektes für das die Bestellung getätigt wird.
z.B.: SDL für allgemeines für das Labor, etc.</t>
  </si>
  <si>
    <t>Beschreibung des Produktes</t>
  </si>
  <si>
    <t>Name des Händlers</t>
  </si>
  <si>
    <t>genaue Artikelnummer des Produktes beim ausgewählten Händler</t>
  </si>
  <si>
    <t>Direkter Link zum Produkt auf der Homepage des Händlers</t>
  </si>
  <si>
    <t>Anzahl an Verkaufseinheiten (VE) die bezogen werden sollen</t>
  </si>
  <si>
    <t>Bei Zuschnittsware Länge in m pro Stk.</t>
  </si>
  <si>
    <t>Bruttopreis pro VE --&gt; wenn in dieser Spalte ein Wert eingetragen wird,
so berechnet sich automatisch der Nettopreis pro VE</t>
  </si>
  <si>
    <t>Nettopreis pro VE --&gt; wenn in dieser Spalte ein Wert eingetragen wird,
so berechnet sich automatisch der Bruttopreis pro VE</t>
  </si>
  <si>
    <t>Gesamtbruttopreis berechnet aus Anzahl/Länge und Brutto pro VE</t>
  </si>
  <si>
    <t>Gesamtnettopreis berechnet aus Gesamtbruttopreis</t>
  </si>
  <si>
    <t>Hilfsspalte für Zuschnitte um Gesamtmasse zu berechnen</t>
  </si>
  <si>
    <t>Hilfsspalte für Masse in kg
Hilfreich um Versandkosten o.Ä. überschlagen zu können</t>
  </si>
  <si>
    <t>https://www.mouser.at/ProductDetail/STMicroelectronics/STM32H7A3RIT6?qs=xZ%2FP%252Ba9zWqZAEQXxnLVEdg%3D%3D&amp;utm_source=octopart&amp;utm_medium=aggregator&amp;utm_campaign=511-STM32H7A3RIT6&amp;utm_content=STMicroelectronics</t>
  </si>
  <si>
    <t>STM32H7A3RIT6</t>
  </si>
  <si>
    <t>511-STM32H7A3RIT6</t>
  </si>
  <si>
    <t>FT2232HL-Reel</t>
  </si>
  <si>
    <t>895-FT2232HL</t>
  </si>
  <si>
    <t>https://www.mouser.at/ProductDetail/FTDI/FT2232HL-REEL?qs=D1%2FPMqvA100v7FHcEx164g%3D%3D</t>
  </si>
  <si>
    <t>ESP8266EX</t>
  </si>
  <si>
    <t>356-ESP8266EX</t>
  </si>
  <si>
    <t>https://www.mouser.at/ProductDetail/Espressif-Systems/ESP8266EX?qs=chTDxNqvsynorwcu2ADV3g%3D%3D&amp;utm_source=octopart&amp;utm_medium=aggregator&amp;utm_campaign=356-ESP8266EX&amp;utm_content=Espressif</t>
  </si>
  <si>
    <t>595-SN74LVC14AD</t>
  </si>
  <si>
    <t>SN74LVC14AD</t>
  </si>
  <si>
    <t>https://www.mouser.at/ProductDetail/Texas-Instruments/SN74LVC14AD?qs=L5CvrNUdZirGourz5jQzSQ%3D%3D</t>
  </si>
  <si>
    <t>93LC56BT-I/OT</t>
  </si>
  <si>
    <t>Farnell</t>
  </si>
  <si>
    <t>1556165</t>
  </si>
  <si>
    <t>https://at.farnell.com/microchip/93lc56bt-i-ot/serial-eeprom-2kbit-2mhz-sot-23/dp/1556165?CMP=GRHB-OCTOPART</t>
  </si>
  <si>
    <t>TPS2113APW</t>
  </si>
  <si>
    <t>595-TPS2113APW</t>
  </si>
  <si>
    <t>https://www.mouser.at/ProductDetail/Texas-Instruments/TPS2113APW?qs=ojKcPFmCWSUN5VlYBAYL8g%3D%3D</t>
  </si>
  <si>
    <t>TS5A23157DGSR</t>
  </si>
  <si>
    <t>https://www.mouser.at/ProductDetail/Texas-Instruments/TS5A23157DGSR?qs=0O%2FZFlpUpJX9eVefTbxh%2FA%3D%3D</t>
  </si>
  <si>
    <t>595-TS5A23157DGSR</t>
  </si>
  <si>
    <t>TPD2EUSB30DRTR</t>
  </si>
  <si>
    <t>https://www.mouser.at/ProductDetail/Texas-Instruments/TPD2EUSB30DRTR?qs=%2Fqzd9s%252BcLd6bPJi5HXCDvw%3D%3D&amp;utm_source=octopart&amp;utm_medium=aggregator&amp;utm_campaign=595-TPD2EUSB30DRTR&amp;utm_content=Texas%20Instruments</t>
  </si>
  <si>
    <t>595-TPD2EUSB30DRTR</t>
  </si>
  <si>
    <t>LSM6DSOXTR</t>
  </si>
  <si>
    <t>511-LSM6DSOXTR</t>
  </si>
  <si>
    <t>https://www.mouser.at/ProductDetail/STMicroelectronics/LSM6DSOXTR?qs=l7cgNqFNU1i9dcjzItLpVQ%3D%3D&amp;utm_source=octopart&amp;utm_medium=aggregator&amp;utm_campaign=511-LSM6DSOXTR&amp;utm_content=STMicroelectronics</t>
  </si>
  <si>
    <t>TSR 1-2433</t>
  </si>
  <si>
    <t>TSR 1-2450</t>
  </si>
  <si>
    <t>TSRN 1-2433SM</t>
  </si>
  <si>
    <t>https://www.mouser.at/ProductDetail/TRACO-Power/TSR-1-2433?qs=ckJk83FOD0Wr1ojFRJK1OQ%3D%3D</t>
  </si>
  <si>
    <t>495-TSR-1-2433</t>
  </si>
  <si>
    <t>495-TSR-1-2450</t>
  </si>
  <si>
    <t>https://www.mouser.at/ProductDetail/TRACO-Power/TSR-1-2450?qs=ckJk83FOD0XFKqda0Mzkgw%3D%3D&amp;utm_source=octopart&amp;utm_medium=aggregator&amp;utm_campaign=495-TSR-1-2450&amp;utm_content=TRACO%20Power</t>
  </si>
  <si>
    <t>2414160</t>
  </si>
  <si>
    <t>https://at.farnell.com/traco-power/tsrn-1-2433sm/dc-dc-wandler-3-3v-1a/dp/2414160?CMP=GRHB-OCTOPART</t>
  </si>
  <si>
    <t>SML-LX0404SIUPGUSB</t>
  </si>
  <si>
    <t>SML-LXT0805IW-TR</t>
  </si>
  <si>
    <t>SML-LXT0805GW-TR</t>
  </si>
  <si>
    <t>HZ0805E601R-10</t>
  </si>
  <si>
    <t>696-LX0404SIUPGUSB</t>
  </si>
  <si>
    <t>696-SML-LXT0805IW</t>
  </si>
  <si>
    <t>https://www.mouser.at/ProductDetail/696-SML-LXT0805IW</t>
  </si>
  <si>
    <t>https://www.mouser.at/ProductDetail/696-LX0404SIUPGUSB</t>
  </si>
  <si>
    <t>696-SML-LXT0805GW</t>
  </si>
  <si>
    <t>https://www.mouser.at/ProductDetail/696-SML-LXT0805GW</t>
  </si>
  <si>
    <t>875-HZ0805E601R-10</t>
  </si>
  <si>
    <t>https://www.mouser.at/ProductDetail/875-HZ0805E601R-10</t>
  </si>
  <si>
    <t>815-M8AIG-24-12-2ZT3</t>
  </si>
  <si>
    <t>https://www.mouser.at/ProductDetail/ABRACON/ABM8AIG-24.000MHZ-12-2Z-T3?qs=gG6m684uYP5orUQEAtjKng%3D%3D&amp;utm_source=octopart&amp;utm_medium=aggregator&amp;utm_campaign=815-M8AIG-24-12-2ZT3&amp;utm_content=ABRACON</t>
  </si>
  <si>
    <t>ABM8AIG-24.000MHZ-12-2Z-T3</t>
  </si>
  <si>
    <t>815-ABLS2-12-B4YT</t>
  </si>
  <si>
    <t>https://www.mouser.at/ProductDetail/ABRACON/ABLS2-12.000MHZ-B4Y-T?qs=DZ%2FvJMgWWIs6Scm%252BixQ6gw%3D%3D&amp;utm_source=octopart&amp;utm_medium=aggregator&amp;utm_campaign=815-ABLS2-12-B4YT&amp;utm_content=ABRACON</t>
  </si>
  <si>
    <t>ABLS2-12.000MHZ-B4Y-T</t>
  </si>
  <si>
    <t>PCM12SMTR</t>
  </si>
  <si>
    <t>PTS645SM43SMTR92LFS</t>
  </si>
  <si>
    <t>611-PCM12SMTR</t>
  </si>
  <si>
    <t>https://www.mouser.at/ProductDetail/CK/PCM12SMTR?qs=mfFuHy8STfL3qrPSfCHA7w%3D%3D&amp;utm_source=octopart&amp;utm_medium=aggregator&amp;utm_campaign=611-PCM12SMTR&amp;utm_content=C</t>
  </si>
  <si>
    <t>611-PTS645SM43SMTR92</t>
  </si>
  <si>
    <t>https://www.mouser.at/ProductDetail/CK/PTS645SM43SMTR92-LFS?qs=Imq1NPwxi75hrUk5xRQGSg%3D%3D&amp;utm_source=octopart&amp;utm_medium=aggregator&amp;utm_campaign=611-PTS645SM43SMTR92&amp;utm_content=C</t>
  </si>
  <si>
    <t>815-ABM8-26-T</t>
  </si>
  <si>
    <t>https://www.mouser.at/ProductDetail/ABRACON/ABM8-26.000MHZ-10-1-U-T?qs=76dmnhCH%2FMP1JRP6EvWbSw%3D%3D</t>
  </si>
  <si>
    <t>ABM8-26.000MHZ-10-1-U-T</t>
  </si>
  <si>
    <t>710-691210910004</t>
  </si>
  <si>
    <t>https://www.mouser.at/ProductDetail/Wurth-Elektronik/691210910004?qs=sPbYRqrBIVlxffWXw70IkA%3D%3D</t>
  </si>
  <si>
    <t>710-691214110002</t>
  </si>
  <si>
    <t>https://www.mouser.at/ProductDetail/Wurth-Elektronik/691214110002?qs=7gQLVZk5cPmb9EqUyfv%252B2g%3D%3D&amp;utm_source=octopart&amp;utm_medium=aggregator&amp;utm_campaign=710-691214110002&amp;utm_content=Wurth%20Elektronik</t>
  </si>
  <si>
    <t>213083-0005</t>
  </si>
  <si>
    <t>538-213083-0005</t>
  </si>
  <si>
    <t>https://www.mouser.at/ProductDetail/Molex/213083-0005?qs=IS%252B4QmGtzzp3iDJcXWaSTg%3D%3D&amp;utm_source=octopart&amp;utm_medium=aggregator&amp;utm_campaign=538-213083-0005&amp;utm_content=Molex</t>
  </si>
  <si>
    <t>710-61300211121</t>
  </si>
  <si>
    <t>https://www.mouser.at/ProductDetail/Wurth-Elektronik/61300211121?qs=t4813l51qx%252B1A5GYDQxPlw%3D%3D&amp;utm_source=octopart&amp;utm_medium=aggregator&amp;utm_campaign=710-61300211121&amp;utm_content=Wurth%20Elektronik</t>
  </si>
  <si>
    <t>710-61301021121</t>
  </si>
  <si>
    <t>https://www.mouser.at/ProductDetail/Wurth-Elektronik/61301021121?qs=ZtY9WdtwX5612K9FdDCZCA%3D%3D&amp;utm_source=octopart&amp;utm_medium=aggregator&amp;utm_campaign=710-61301021121&amp;utm_content=Wurth%20Elektronik</t>
  </si>
  <si>
    <t>BSS138</t>
  </si>
  <si>
    <t>512-BSS138</t>
  </si>
  <si>
    <t>https://www.mouser.at/ProductDetail/onsemi-Fairchild/BSS138?qs=HK%252BeIG1iaahCeqBvjB4arg%3D%3D&amp;utm_source=octopart&amp;utm_medium=aggregator&amp;utm_campaign=512-BSS138&amp;utm_content=onsemi</t>
  </si>
  <si>
    <t>81-LQW18AN4N3C00D</t>
  </si>
  <si>
    <t>LQW18AN4N3C00D</t>
  </si>
  <si>
    <t>https://www.mouser.at/ProductDetail/Murata-Electronics/LQW18AN4N3C00D?qs=W2MaHu96STZjVSBQr%252BDZxQ%3D%3D&amp;utm_source=octopart&amp;utm_medium=aggregator&amp;utm_campaign=81-LQW18AN4N3C00D&amp;utm_content=Murata</t>
  </si>
  <si>
    <t>7447840015G</t>
  </si>
  <si>
    <t>710-7447840015G</t>
  </si>
  <si>
    <t>https://www.mouser.at/ProductDetail/Wurth-Elektronik/7447840015G?qs=aP1CjGhiNiHkJAv%2FaOK7Aw%3D%3D&amp;utm_source=octopart&amp;utm_medium=aggregator&amp;utm_campaign=710-7447840015G&amp;utm_content=Wurth%20Elektronik</t>
  </si>
  <si>
    <t>EEEFT1H221AP</t>
  </si>
  <si>
    <t>https://www.mouser.at/ProductDetail/Panasonic/EEE-FT1H221AP?qs=CMJjuEs1%252BuFFGBuxQbDfDA%3D%3D&amp;utm_source=octopart&amp;utm_medium=aggregator&amp;utm_campaign=667-EEE-FT1H221AP&amp;utm_content=Panasonic</t>
  </si>
  <si>
    <t>667-EEE-FT1H221AP</t>
  </si>
  <si>
    <t>EEEFK1H101P</t>
  </si>
  <si>
    <t>667-EEE-FK1H101P</t>
  </si>
  <si>
    <t>https://www.mouser.at/ProductDetail/Panasonic/EEE-FK1H101P?qs=qE6bgDGEOCvpdTqIVQNh4Q%3D%3D&amp;utm_source=octopart&amp;utm_medium=aggregator&amp;utm_campaign=667-EEE-FK1H101P&amp;utm_content=Panasonic</t>
  </si>
  <si>
    <t>EEE-FC1H220P</t>
  </si>
  <si>
    <t>667-EEE-FC1H220P</t>
  </si>
  <si>
    <t>https://www.mouser.at/ProductDetail/Panasonic/EEE-FC1H220P?qs=wEytwf7f49E5aS6lw2N%2FpQ%3D%3D&amp;utm_source=octopart&amp;utm_medium=aggregator&amp;utm_campaign=667-EEE-FC1H220P&amp;utm_content=Panasonic</t>
  </si>
  <si>
    <t>EEE-FK1H100UR</t>
  </si>
  <si>
    <t>667-EEE-FK1H100UR</t>
  </si>
  <si>
    <t>https://www.mouser.at/ProductDetail/Panasonic/EEE-FK1H100UR?qs=qE6bgDGEOCsEuFChZPEPmw%3D%3D&amp;utm_source=octopart&amp;utm_medium=aggregator&amp;utm_campaign=667-EEE-FK1H100UR&amp;utm_content=Panasonic</t>
  </si>
  <si>
    <t>220µF 50V Aluminium ELCO</t>
  </si>
  <si>
    <t>100µF 50V Aluminium ELCO</t>
  </si>
  <si>
    <t>22µF 50V Aluminium ELCO</t>
  </si>
  <si>
    <t>10µF 50V Aluminium ELCO</t>
  </si>
  <si>
    <t>47µF 50V Aluminium ELCO</t>
  </si>
  <si>
    <t>C0603C829C5GACTU</t>
  </si>
  <si>
    <t>80-C0603C829C5G</t>
  </si>
  <si>
    <t>https://www.mouser.at/ProductDetail/KEMET/C0603C829C5GACTU?qs=I3JbKodHcjiKB1jPZKr7Dw%3D%3D</t>
  </si>
  <si>
    <t>CBR04C249B5GAC</t>
  </si>
  <si>
    <t>80-CBR04C249B5G</t>
  </si>
  <si>
    <t>https://www.mouser.at/ProductDetail/KEMET/CBR04C249B5GAC?qs=XxWtqqdu%2F9GpYW2wwEqspw%3D%3D&amp;utm_source=octopart&amp;utm_medium=aggregator&amp;utm_campaign=80-CBR04C249B5G&amp;utm_content=KEMET</t>
  </si>
  <si>
    <t>TNPW0805499RBEEN</t>
  </si>
  <si>
    <t>71-TNPW0805499RBEEN</t>
  </si>
  <si>
    <t>https://www.mouser.at/ProductDetail/Vishay/TNPW0805499RBEEN?qs=mM8c4%252BCQc9U969g4vMYprA%3D%3D</t>
  </si>
  <si>
    <t>Widerstand 499 Ohm 0805 (nicht in E12-Reihe)</t>
  </si>
  <si>
    <t>Widerstand 200 Ohm 0805 (nicht in E12-Reihe)</t>
  </si>
  <si>
    <t>Widerstand 24.9 Ohm 0805 (nicht in E12-Reihe)</t>
  </si>
  <si>
    <t>Widerstand 4.3k Ohm 0805 (nicht in E12-Reihe)</t>
  </si>
  <si>
    <t>Widerstand 5.11k Ohm 0805 (nicht in E12-Reihe)</t>
  </si>
  <si>
    <t>Widerstand 2k Ohm 0805 (nicht in E12-Reihe)</t>
  </si>
  <si>
    <t>Widerstand 0 Ohm 0805 (nicht in E12-Reihe)</t>
  </si>
  <si>
    <t>CRCW0805200RFKEA</t>
  </si>
  <si>
    <t>71-CRCW0805-200-E3</t>
  </si>
  <si>
    <t>https://www.mouser.at/ProductDetail/Vishay/CRCW0805200RFKEA?qs=t6Mf8e9K%2Funa9GclCWxh6A%3D%3D</t>
  </si>
  <si>
    <t>ERJ-6ENF24R9V</t>
  </si>
  <si>
    <t>CRCW08054K30FKEA</t>
  </si>
  <si>
    <t>RN73C2A5K11BTDF</t>
  </si>
  <si>
    <t>RC0805JR-070RL</t>
  </si>
  <si>
    <t>RC0805JR-072KL</t>
  </si>
  <si>
    <t>https://www.mouser.at/ProductDetail/Panasonic/ERJ-6ENF24R9V?qs=50QC8w71jAuHKLC%252Bezoy5Q%3D%3D&amp;utm_source=octopart&amp;utm_medium=aggregator&amp;utm_campaign=667-ERJ-6ENF24R9V&amp;utm_content=Panasonic</t>
  </si>
  <si>
    <t>667-ERJ-6ENF24R9V</t>
  </si>
  <si>
    <t>https://www.mouser.at/ProductDetail/Vishay/CRCW08054K30FKEA?qs=kkyyugUlSrOMwrmfKiw%252BeQ%3D%3D</t>
  </si>
  <si>
    <t>71-CRCW08054K30FKEA</t>
  </si>
  <si>
    <t>https://www.mouser.at/ProductDetail/TE-Connectivity-Holsworthy/RN73C2A5K11BTDF?qs=456bEp87Hfa%252BvQblEULuJA%3D%3D&amp;utm_source=octopart&amp;utm_medium=aggregator&amp;utm_campaign=279-RN73CA-5.11K&amp;utm_content=TE+Connectivity</t>
  </si>
  <si>
    <t>279-RN73CA-5.11K</t>
  </si>
  <si>
    <t>603-RC0805JR-072KL</t>
  </si>
  <si>
    <t>https://www.mouser.at/ProductDetail/YAGEO/RC0805JR-072KL?qs=KyGMWp10UkspCtNMkbcovQ%3D%3D</t>
  </si>
  <si>
    <t>603-RC0805JR-070RL</t>
  </si>
  <si>
    <t>https://www.mouser.at/ProductDetail/YAGEO/RC0805JR-070RL?qs=3ldFlDWnkKyEhdaPjQHEFA%3D%3D</t>
  </si>
  <si>
    <t>GRM21BR61H106KE43L</t>
  </si>
  <si>
    <t>C2012X5R1H475K125AB</t>
  </si>
  <si>
    <t>CGA4J3X7R1H225K125AE</t>
  </si>
  <si>
    <t>C0805C105K5RACTU</t>
  </si>
  <si>
    <t>C0805C270J5GACTU</t>
  </si>
  <si>
    <t>08055A150JAT2A</t>
  </si>
  <si>
    <t>81-GRM21BR61H106KE3L</t>
  </si>
  <si>
    <t>https://www.mouser.at/ProductDetail/Murata-Electronics/GRM21BR61H106KE43L?qs=lYGu3FyN48cBZlIduWKclg%3D%3D&amp;utm_source=octopart&amp;utm_medium=aggregator&amp;utm_campaign=81-GRM21BR61H106KE3L&amp;utm_content=Murata</t>
  </si>
  <si>
    <t>810-C2012X5R1H475K</t>
  </si>
  <si>
    <t>https://www.mouser.at/ProductDetail/TDK/C2012X5R1H475K125AB?qs=NRhsANhppD%252BC04rCIKmBpA%3D%3D</t>
  </si>
  <si>
    <t>810-CGA4J3X7R1H225KE</t>
  </si>
  <si>
    <t>https://www.mouser.at/ProductDetail/TDK/CGA4J3X7R1H225K125AE?qs=P%2FC4Eoq9CDwFRkh%2Fc8nt%2FA%3D%3D</t>
  </si>
  <si>
    <t>80-C0805C105K5R</t>
  </si>
  <si>
    <t>80-C0805C270J5G</t>
  </si>
  <si>
    <t>https://www.mouser.at/ProductDetail/KEMET/C0805C105K5RACTU?qs=iP0bYSAMAFrBrUflcErrLQ%3D%3D</t>
  </si>
  <si>
    <t>https://www.mouser.at/ProductDetail/KEMET/C0805C270J5GACTU?qs=PkXL6o6vp1EdbKoO6h1EFg%3D%3D</t>
  </si>
  <si>
    <t>https://www.mouser.at/ProductDetail/KYOCERA-AVX/08055A150JAT2A?qs=pZVDklL%2Fs8hiEua37sqbaA%3D%3D</t>
  </si>
  <si>
    <t>581-08055A150J</t>
  </si>
  <si>
    <t>08055A100JAT2A</t>
  </si>
  <si>
    <t>581-08055A100J</t>
  </si>
  <si>
    <t>https://www.mouser.at/ProductDetail/KYOCERA-AVX/08055A100JAT2A?qs=sXYjIdLHthxdnSWJ4UNpVw%3D%3D</t>
  </si>
  <si>
    <t>EEEFT1H470AP</t>
  </si>
  <si>
    <t>667-EEE-FT1H470AP</t>
  </si>
  <si>
    <t>https://www.mouser.at/ProductDetail/Panasonic/EEE-FT1H470AP?qs=CMJjuEs1%252BuGwCsNIEusjpA%3D%3D&amp;utm_source=octopart&amp;utm_medium=aggregator&amp;utm_campaign=667-EEE-FT1H470AP&amp;utm_content=Panasonic</t>
  </si>
  <si>
    <t>474-COM-15809</t>
  </si>
  <si>
    <t>W25Q32FV</t>
  </si>
  <si>
    <t>COM-15809 SparkFun | Mouser Austria</t>
  </si>
  <si>
    <t>KerKo 10µF 50V 0805</t>
  </si>
  <si>
    <t>KerKo 4.7µF 50V 0805</t>
  </si>
  <si>
    <t>KerKo 2.2µF 50V 0805</t>
  </si>
  <si>
    <t>KerKo 1µF 50V 0805</t>
  </si>
  <si>
    <t>KerKo 27pF 50V 0805</t>
  </si>
  <si>
    <t>KerKo 15pF 50V 0805</t>
  </si>
  <si>
    <t>KerKo 10pF 50V 0805</t>
  </si>
  <si>
    <t>KerKo 8.2pF 50V 0603</t>
  </si>
  <si>
    <t>KerKo 2.4pF 50V 0402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</si>
</sst>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[$€-2]\ #,##0.00;[Red]\-[$€-2]\ #,##0.00"/>
    <numFmt numFmtId="166" formatCode="0.0\ &quot;kg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11111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2" fillId="0" borderId="1" xfId="0" applyFont="1" applyBorder="1"/>
    <xf numFmtId="0" fontId="0" fillId="0" borderId="1" xfId="0" applyBorder="1"/>
    <xf numFmtId="164" fontId="0" fillId="0" borderId="0" xfId="1" applyFont="1"/>
    <xf numFmtId="164" fontId="0" fillId="0" borderId="1" xfId="1" applyFont="1" applyBorder="1"/>
    <xf numFmtId="164" fontId="2" fillId="0" borderId="0" xfId="1" applyFont="1"/>
    <xf numFmtId="0" fontId="3" fillId="0" borderId="1" xfId="2" applyBorder="1"/>
    <xf numFmtId="0" fontId="3" fillId="0" borderId="0" xfId="2" applyBorder="1"/>
    <xf numFmtId="164" fontId="0" fillId="0" borderId="0" xfId="1" applyFont="1" applyBorder="1"/>
    <xf numFmtId="165" fontId="0" fillId="0" borderId="0" xfId="0" applyNumberFormat="1"/>
    <xf numFmtId="0" fontId="2" fillId="0" borderId="0" xfId="0" applyFont="1"/>
    <xf numFmtId="0" fontId="4" fillId="0" borderId="0" xfId="0" applyFont="1" applyAlignment="1">
      <alignment vertical="center" wrapText="1"/>
    </xf>
    <xf numFmtId="0" fontId="0" fillId="0" borderId="1" xfId="1" applyNumberFormat="1" applyFont="1" applyBorder="1"/>
    <xf numFmtId="0" fontId="3" fillId="0" borderId="0" xfId="2" applyFill="1"/>
    <xf numFmtId="164" fontId="0" fillId="0" borderId="0" xfId="1" applyFont="1" applyFill="1"/>
    <xf numFmtId="2" fontId="0" fillId="0" borderId="0" xfId="1" applyNumberFormat="1" applyFont="1" applyFill="1"/>
    <xf numFmtId="0" fontId="0" fillId="0" borderId="0" xfId="1" applyNumberFormat="1" applyFont="1" applyFill="1"/>
    <xf numFmtId="166" fontId="2" fillId="0" borderId="0" xfId="1" applyNumberFormat="1" applyFont="1"/>
    <xf numFmtId="49" fontId="0" fillId="0" borderId="0" xfId="0" applyNumberFormat="1"/>
    <xf numFmtId="0" fontId="3" fillId="0" borderId="0" xfId="2"/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4" xfId="0" applyBorder="1"/>
    <xf numFmtId="164" fontId="0" fillId="0" borderId="4" xfId="1" applyFont="1" applyBorder="1"/>
    <xf numFmtId="164" fontId="2" fillId="0" borderId="4" xfId="1" applyFont="1" applyBorder="1"/>
    <xf numFmtId="166" fontId="2" fillId="0" borderId="4" xfId="1" applyNumberFormat="1" applyFont="1" applyBorder="1"/>
    <xf numFmtId="0" fontId="2" fillId="0" borderId="4" xfId="0" applyFont="1" applyBorder="1"/>
    <xf numFmtId="1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0" fillId="0" borderId="4" xfId="0" applyNumberFormat="1" applyBorder="1"/>
    <xf numFmtId="0" fontId="3" fillId="0" borderId="4" xfId="2" applyFill="1" applyBorder="1"/>
    <xf numFmtId="164" fontId="0" fillId="0" borderId="4" xfId="1" applyFont="1" applyFill="1" applyBorder="1"/>
    <xf numFmtId="0" fontId="0" fillId="0" borderId="4" xfId="1" applyNumberFormat="1" applyFont="1" applyFill="1" applyBorder="1"/>
    <xf numFmtId="2" fontId="0" fillId="0" borderId="4" xfId="1" applyNumberFormat="1" applyFont="1" applyFill="1" applyBorder="1"/>
    <xf numFmtId="16" fontId="0" fillId="0" borderId="0" xfId="0" applyNumberFormat="1"/>
    <xf numFmtId="0" fontId="0" fillId="0" borderId="0" xfId="0" applyBorder="1"/>
    <xf numFmtId="49" fontId="0" fillId="0" borderId="0" xfId="0" applyNumberFormat="1" applyBorder="1"/>
    <xf numFmtId="0" fontId="3" fillId="0" borderId="0" xfId="2" applyFill="1" applyBorder="1"/>
    <xf numFmtId="164" fontId="0" fillId="0" borderId="0" xfId="1" applyFont="1" applyFill="1" applyBorder="1"/>
    <xf numFmtId="0" fontId="0" fillId="0" borderId="0" xfId="1" applyNumberFormat="1" applyFont="1" applyFill="1" applyBorder="1"/>
    <xf numFmtId="2" fontId="0" fillId="0" borderId="0" xfId="1" applyNumberFormat="1" applyFont="1" applyFill="1" applyBorder="1"/>
  </cellXfs>
  <cellStyles count="3">
    <cellStyle name="Link" xfId="2" builtinId="8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user.at/ProductDetail/875-HZ0805E601R-10" TargetMode="External"/><Relationship Id="rId18" Type="http://schemas.openxmlformats.org/officeDocument/2006/relationships/hyperlink" Target="https://www.mouser.at/ProductDetail/ABRACON/ABM8-26.000MHZ-10-1-U-T?qs=76dmnhCH%2FMP1JRP6EvWbSw%3D%3D" TargetMode="External"/><Relationship Id="rId26" Type="http://schemas.openxmlformats.org/officeDocument/2006/relationships/hyperlink" Target="https://www.mouser.at/ProductDetail/Panasonic/EEE-FK1H101P?qs=qE6bgDGEOCvpdTqIVQNh4Q%3D%3D&amp;utm_source=octopart&amp;utm_medium=aggregator&amp;utm_campaign=667-EEE-FK1H101P&amp;utm_content=Panasonic" TargetMode="External"/><Relationship Id="rId39" Type="http://schemas.openxmlformats.org/officeDocument/2006/relationships/hyperlink" Target="https://www.mouser.at/ProductDetail/KEMET/C0805C105K5RACTU?qs=iP0bYSAMAFrBrUflcErrLQ%3D%3D" TargetMode="External"/><Relationship Id="rId21" Type="http://schemas.openxmlformats.org/officeDocument/2006/relationships/hyperlink" Target="https://www.mouser.at/ProductDetail/Wurth-Elektronik/61300211121?qs=t4813l51qx%252B1A5GYDQxPlw%3D%3D&amp;utm_source=octopart&amp;utm_medium=aggregator&amp;utm_campaign=710-61300211121&amp;utm_content=Wurth%20Elektronik" TargetMode="External"/><Relationship Id="rId34" Type="http://schemas.openxmlformats.org/officeDocument/2006/relationships/hyperlink" Target="https://www.mouser.at/ProductDetail/YAGEO/RC0805JR-072KL?qs=KyGMWp10UkspCtNMkbcovQ%3D%3D" TargetMode="External"/><Relationship Id="rId42" Type="http://schemas.openxmlformats.org/officeDocument/2006/relationships/hyperlink" Target="https://www.mouser.at/ProductDetail/KYOCERA-AVX/08055A100JAT2A?qs=sXYjIdLHthxdnSWJ4UNpVw%3D%3D" TargetMode="External"/><Relationship Id="rId7" Type="http://schemas.openxmlformats.org/officeDocument/2006/relationships/hyperlink" Target="https://www.mouser.at/ProductDetail/TRACO-Power/TSR-1-2433?qs=ckJk83FOD0Wr1ojFRJK1OQ%3D%3D" TargetMode="External"/><Relationship Id="rId2" Type="http://schemas.openxmlformats.org/officeDocument/2006/relationships/hyperlink" Target="https://www.mouser.at/ProductDetail/FTDI/FT2232HL-REEL?qs=D1%2FPMqvA100v7FHcEx164g%3D%3D" TargetMode="External"/><Relationship Id="rId16" Type="http://schemas.openxmlformats.org/officeDocument/2006/relationships/hyperlink" Target="https://www.mouser.at/ProductDetail/CK/PCM12SMTR?qs=mfFuHy8STfL3qrPSfCHA7w%3D%3D&amp;utm_source=octopart&amp;utm_medium=aggregator&amp;utm_campaign=611-PCM12SMTR&amp;utm_content=C" TargetMode="External"/><Relationship Id="rId29" Type="http://schemas.openxmlformats.org/officeDocument/2006/relationships/hyperlink" Target="https://www.mouser.at/ProductDetail/Vishay/TNPW0805499RBEEN?qs=mM8c4%252BCQc9U969g4vMYprA%3D%3D" TargetMode="External"/><Relationship Id="rId1" Type="http://schemas.openxmlformats.org/officeDocument/2006/relationships/hyperlink" Target="https://www.mouser.at/ProductDetail/STMicroelectronics/STM32H7A3RIT6?qs=xZ%2FP%252Ba9zWqZAEQXxnLVEdg%3D%3D&amp;utm_source=octopart&amp;utm_medium=aggregator&amp;utm_campaign=511-STM32H7A3RIT6&amp;utm_content=STMicroelectronics" TargetMode="External"/><Relationship Id="rId6" Type="http://schemas.openxmlformats.org/officeDocument/2006/relationships/hyperlink" Target="https://www.mouser.at/ProductDetail/STMicroelectronics/LSM6DSOXTR?qs=l7cgNqFNU1i9dcjzItLpVQ%3D%3D&amp;utm_source=octopart&amp;utm_medium=aggregator&amp;utm_campaign=511-LSM6DSOXTR&amp;utm_content=STMicroelectronics" TargetMode="External"/><Relationship Id="rId11" Type="http://schemas.openxmlformats.org/officeDocument/2006/relationships/hyperlink" Target="https://www.mouser.at/ProductDetail/696-LX0404SIUPGUSB" TargetMode="External"/><Relationship Id="rId24" Type="http://schemas.openxmlformats.org/officeDocument/2006/relationships/hyperlink" Target="https://www.mouser.at/ProductDetail/Wurth-Elektronik/7447840015G?qs=aP1CjGhiNiHkJAv%2FaOK7Aw%3D%3D&amp;utm_source=octopart&amp;utm_medium=aggregator&amp;utm_campaign=710-7447840015G&amp;utm_content=Wurth%20Elektronik" TargetMode="External"/><Relationship Id="rId32" Type="http://schemas.openxmlformats.org/officeDocument/2006/relationships/hyperlink" Target="https://www.mouser.at/ProductDetail/Vishay/CRCW08054K30FKEA?qs=kkyyugUlSrOMwrmfKiw%252BeQ%3D%3D" TargetMode="External"/><Relationship Id="rId37" Type="http://schemas.openxmlformats.org/officeDocument/2006/relationships/hyperlink" Target="https://www.mouser.at/ProductDetail/TDK/C2012X5R1H475K125AB?qs=NRhsANhppD%252BC04rCIKmBpA%3D%3D" TargetMode="External"/><Relationship Id="rId40" Type="http://schemas.openxmlformats.org/officeDocument/2006/relationships/hyperlink" Target="https://www.mouser.at/ProductDetail/KEMET/C0805C270J5GACTU?qs=PkXL6o6vp1EdbKoO6h1EFg%3D%3D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https://at.farnell.com/microchip/93lc56bt-i-ot/serial-eeprom-2kbit-2mhz-sot-23/dp/1556165?CMP=GRHB-OCTOPART" TargetMode="External"/><Relationship Id="rId15" Type="http://schemas.openxmlformats.org/officeDocument/2006/relationships/hyperlink" Target="https://www.mouser.at/ProductDetail/ABRACON/ABLS2-12.000MHZ-B4Y-T?qs=DZ%2FvJMgWWIs6Scm%252BixQ6gw%3D%3D&amp;utm_source=octopart&amp;utm_medium=aggregator&amp;utm_campaign=815-ABLS2-12-B4YT&amp;utm_content=ABRACON" TargetMode="External"/><Relationship Id="rId23" Type="http://schemas.openxmlformats.org/officeDocument/2006/relationships/hyperlink" Target="https://www.mouser.at/ProductDetail/onsemi-Fairchild/BSS138?qs=HK%252BeIG1iaahCeqBvjB4arg%3D%3D&amp;utm_source=octopart&amp;utm_medium=aggregator&amp;utm_campaign=512-BSS138&amp;utm_content=onsemi" TargetMode="External"/><Relationship Id="rId28" Type="http://schemas.openxmlformats.org/officeDocument/2006/relationships/hyperlink" Target="https://www.mouser.at/ProductDetail/KEMET/C0603C829C5GACTU?qs=I3JbKodHcjiKB1jPZKr7Dw%3D%3D" TargetMode="External"/><Relationship Id="rId36" Type="http://schemas.openxmlformats.org/officeDocument/2006/relationships/hyperlink" Target="https://www.mouser.at/ProductDetail/Murata-Electronics/GRM21BR61H106KE43L?qs=lYGu3FyN48cBZlIduWKclg%3D%3D&amp;utm_source=octopart&amp;utm_medium=aggregator&amp;utm_campaign=81-GRM21BR61H106KE3L&amp;utm_content=Murata" TargetMode="External"/><Relationship Id="rId10" Type="http://schemas.openxmlformats.org/officeDocument/2006/relationships/hyperlink" Target="https://www.mouser.at/ProductDetail/696-SML-LXT0805IW" TargetMode="External"/><Relationship Id="rId19" Type="http://schemas.openxmlformats.org/officeDocument/2006/relationships/hyperlink" Target="https://www.mouser.at/ProductDetail/Wurth-Elektronik/691210910004?qs=sPbYRqrBIVlxffWXw70IkA%3D%3D" TargetMode="External"/><Relationship Id="rId31" Type="http://schemas.openxmlformats.org/officeDocument/2006/relationships/hyperlink" Target="https://www.mouser.at/ProductDetail/Panasonic/ERJ-6ENF24R9V?qs=50QC8w71jAuHKLC%252Bezoy5Q%3D%3D&amp;utm_source=octopart&amp;utm_medium=aggregator&amp;utm_campaign=667-ERJ-6ENF24R9V&amp;utm_content=Panasonic" TargetMode="External"/><Relationship Id="rId44" Type="http://schemas.openxmlformats.org/officeDocument/2006/relationships/hyperlink" Target="https://www.mouser.at/ProductDetail/SparkFun/COM-15809?qs=wnTfsH77Xs4W6lzhkB8rzg%3D%3D" TargetMode="External"/><Relationship Id="rId4" Type="http://schemas.openxmlformats.org/officeDocument/2006/relationships/hyperlink" Target="https://www.mouser.at/ProductDetail/Texas-Instruments/SN74LVC14AD?qs=L5CvrNUdZirGourz5jQzSQ%3D%3D" TargetMode="External"/><Relationship Id="rId9" Type="http://schemas.openxmlformats.org/officeDocument/2006/relationships/hyperlink" Target="https://at.farnell.com/traco-power/tsrn-1-2433sm/dc-dc-wandler-3-3v-1a/dp/2414160?CMP=GRHB-OCTOPART" TargetMode="External"/><Relationship Id="rId14" Type="http://schemas.openxmlformats.org/officeDocument/2006/relationships/hyperlink" Target="https://www.mouser.at/ProductDetail/ABRACON/ABM8AIG-24.000MHZ-12-2Z-T3?qs=gG6m684uYP5orUQEAtjKng%3D%3D&amp;utm_source=octopart&amp;utm_medium=aggregator&amp;utm_campaign=815-M8AIG-24-12-2ZT3&amp;utm_content=ABRACON" TargetMode="External"/><Relationship Id="rId22" Type="http://schemas.openxmlformats.org/officeDocument/2006/relationships/hyperlink" Target="https://www.mouser.at/ProductDetail/Wurth-Elektronik/61301021121?qs=ZtY9WdtwX5612K9FdDCZCA%3D%3D&amp;utm_source=octopart&amp;utm_medium=aggregator&amp;utm_campaign=710-61301021121&amp;utm_content=Wurth%20Elektronik" TargetMode="External"/><Relationship Id="rId27" Type="http://schemas.openxmlformats.org/officeDocument/2006/relationships/hyperlink" Target="https://www.mouser.at/ProductDetail/Panasonic/EEE-FK1H100UR?qs=qE6bgDGEOCsEuFChZPEPmw%3D%3D&amp;utm_source=octopart&amp;utm_medium=aggregator&amp;utm_campaign=667-EEE-FK1H100UR&amp;utm_content=Panasonic" TargetMode="External"/><Relationship Id="rId30" Type="http://schemas.openxmlformats.org/officeDocument/2006/relationships/hyperlink" Target="https://www.mouser.at/ProductDetail/Vishay/CRCW0805200RFKEA?qs=t6Mf8e9K%2Funa9GclCWxh6A%3D%3D" TargetMode="External"/><Relationship Id="rId35" Type="http://schemas.openxmlformats.org/officeDocument/2006/relationships/hyperlink" Target="https://www.mouser.at/ProductDetail/YAGEO/RC0805JR-070RL?qs=3ldFlDWnkKyEhdaPjQHEFA%3D%3D" TargetMode="External"/><Relationship Id="rId43" Type="http://schemas.openxmlformats.org/officeDocument/2006/relationships/hyperlink" Target="https://www.mouser.at/ProductDetail/Panasonic/EEE-FT1H470AP?qs=CMJjuEs1%252BuGwCsNIEusjpA%3D%3D&amp;utm_source=octopart&amp;utm_medium=aggregator&amp;utm_campaign=667-EEE-FT1H470AP&amp;utm_content=Panasonic" TargetMode="External"/><Relationship Id="rId8" Type="http://schemas.openxmlformats.org/officeDocument/2006/relationships/hyperlink" Target="https://www.mouser.at/ProductDetail/TRACO-Power/TSR-1-2450?qs=ckJk83FOD0XFKqda0Mzkgw%3D%3D&amp;utm_source=octopart&amp;utm_medium=aggregator&amp;utm_campaign=495-TSR-1-2450&amp;utm_content=TRACO%20Power" TargetMode="External"/><Relationship Id="rId3" Type="http://schemas.openxmlformats.org/officeDocument/2006/relationships/hyperlink" Target="https://www.mouser.at/ProductDetail/Espressif-Systems/ESP8266EX?qs=chTDxNqvsynorwcu2ADV3g%3D%3D&amp;utm_source=octopart&amp;utm_medium=aggregator&amp;utm_campaign=356-ESP8266EX&amp;utm_content=Espressif" TargetMode="External"/><Relationship Id="rId12" Type="http://schemas.openxmlformats.org/officeDocument/2006/relationships/hyperlink" Target="https://www.mouser.at/ProductDetail/696-SML-LXT0805GW" TargetMode="External"/><Relationship Id="rId17" Type="http://schemas.openxmlformats.org/officeDocument/2006/relationships/hyperlink" Target="https://www.mouser.at/ProductDetail/CK/PTS645SM43SMTR92-LFS?qs=Imq1NPwxi75hrUk5xRQGSg%3D%3D&amp;utm_source=octopart&amp;utm_medium=aggregator&amp;utm_campaign=611-PTS645SM43SMTR92&amp;utm_content=C" TargetMode="External"/><Relationship Id="rId25" Type="http://schemas.openxmlformats.org/officeDocument/2006/relationships/hyperlink" Target="https://www.mouser.at/ProductDetail/Panasonic/EEE-FT1H221AP?qs=CMJjuEs1%252BuFFGBuxQbDfDA%3D%3D&amp;utm_source=octopart&amp;utm_medium=aggregator&amp;utm_campaign=667-EEE-FT1H221AP&amp;utm_content=Panasonic" TargetMode="External"/><Relationship Id="rId33" Type="http://schemas.openxmlformats.org/officeDocument/2006/relationships/hyperlink" Target="https://www.mouser.at/ProductDetail/TE-Connectivity-Holsworthy/RN73C2A5K11BTDF?qs=456bEp87Hfa%252BvQblEULuJA%3D%3D&amp;utm_source=octopart&amp;utm_medium=aggregator&amp;utm_campaign=279-RN73CA-5.11K&amp;utm_content=TE+Connectivity" TargetMode="External"/><Relationship Id="rId38" Type="http://schemas.openxmlformats.org/officeDocument/2006/relationships/hyperlink" Target="https://www.mouser.at/ProductDetail/TDK/CGA4J3X7R1H225K125AE?qs=P%2FC4Eoq9CDwFRkh%2Fc8nt%2FA%3D%3D" TargetMode="External"/><Relationship Id="rId20" Type="http://schemas.openxmlformats.org/officeDocument/2006/relationships/hyperlink" Target="https://www.mouser.at/ProductDetail/Wurth-Elektronik/691214110002?qs=7gQLVZk5cPmb9EqUyfv%252B2g%3D%3D&amp;utm_source=octopart&amp;utm_medium=aggregator&amp;utm_campaign=710-691214110002&amp;utm_content=Wurth%20Elektronik" TargetMode="External"/><Relationship Id="rId41" Type="http://schemas.openxmlformats.org/officeDocument/2006/relationships/hyperlink" Target="https://www.mouser.at/ProductDetail/KYOCERA-AVX/08055A150JAT2A?qs=pZVDklL%2Fs8hiEua37sqbaA%3D%3D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igikey.at/" TargetMode="External"/><Relationship Id="rId18" Type="http://schemas.openxmlformats.org/officeDocument/2006/relationships/hyperlink" Target="https://www.metzler.at/" TargetMode="External"/><Relationship Id="rId26" Type="http://schemas.openxmlformats.org/officeDocument/2006/relationships/hyperlink" Target="https://www.stasto.eu/" TargetMode="External"/><Relationship Id="rId39" Type="http://schemas.openxmlformats.org/officeDocument/2006/relationships/hyperlink" Target="https://www.cncshop.at/" TargetMode="External"/><Relationship Id="rId21" Type="http://schemas.openxmlformats.org/officeDocument/2006/relationships/hyperlink" Target="https://www.faigle.com/en" TargetMode="External"/><Relationship Id="rId34" Type="http://schemas.openxmlformats.org/officeDocument/2006/relationships/hyperlink" Target="https://www.pointner.cc/" TargetMode="External"/><Relationship Id="rId42" Type="http://schemas.openxmlformats.org/officeDocument/2006/relationships/hyperlink" Target="https://www.obi.at/" TargetMode="External"/><Relationship Id="rId7" Type="http://schemas.openxmlformats.org/officeDocument/2006/relationships/hyperlink" Target="https://www.alcom-international.de/baukastensystem.html" TargetMode="External"/><Relationship Id="rId2" Type="http://schemas.openxmlformats.org/officeDocument/2006/relationships/hyperlink" Target="https://www.fixmetall-shop.com/" TargetMode="External"/><Relationship Id="rId16" Type="http://schemas.openxmlformats.org/officeDocument/2006/relationships/hyperlink" Target="https://at.rs-online.com/web/" TargetMode="External"/><Relationship Id="rId20" Type="http://schemas.openxmlformats.org/officeDocument/2006/relationships/hyperlink" Target="https://www.plexcom.at/" TargetMode="External"/><Relationship Id="rId29" Type="http://schemas.openxmlformats.org/officeDocument/2006/relationships/hyperlink" Target="https://www.maunsystem.de/" TargetMode="External"/><Relationship Id="rId41" Type="http://schemas.openxmlformats.org/officeDocument/2006/relationships/hyperlink" Target="https://www.top-maschinen.de/" TargetMode="External"/><Relationship Id="rId1" Type="http://schemas.openxmlformats.org/officeDocument/2006/relationships/hyperlink" Target="https://www.contorion.at/" TargetMode="External"/><Relationship Id="rId6" Type="http://schemas.openxmlformats.org/officeDocument/2006/relationships/hyperlink" Target="https://www.smt-montagetechnik.de/produkte/" TargetMode="External"/><Relationship Id="rId11" Type="http://schemas.openxmlformats.org/officeDocument/2006/relationships/hyperlink" Target="https://amazon.de/" TargetMode="External"/><Relationship Id="rId24" Type="http://schemas.openxmlformats.org/officeDocument/2006/relationships/hyperlink" Target="https://www.koellensperger-stahl.at/" TargetMode="External"/><Relationship Id="rId32" Type="http://schemas.openxmlformats.org/officeDocument/2006/relationships/hyperlink" Target="https://shop.schrauben-tb.at/" TargetMode="External"/><Relationship Id="rId37" Type="http://schemas.openxmlformats.org/officeDocument/2006/relationships/hyperlink" Target="https://www.distrelec.at/" TargetMode="External"/><Relationship Id="rId40" Type="http://schemas.openxmlformats.org/officeDocument/2006/relationships/hyperlink" Target="https://www.werkzeug-profi.at/" TargetMode="External"/><Relationship Id="rId5" Type="http://schemas.openxmlformats.org/officeDocument/2006/relationships/hyperlink" Target="https://www.elesa-ganter.at/de/aut" TargetMode="External"/><Relationship Id="rId15" Type="http://schemas.openxmlformats.org/officeDocument/2006/relationships/hyperlink" Target="https://www.conrad.at/" TargetMode="External"/><Relationship Id="rId23" Type="http://schemas.openxmlformats.org/officeDocument/2006/relationships/hyperlink" Target="https://shop.ibl-raimund.de/" TargetMode="External"/><Relationship Id="rId28" Type="http://schemas.openxmlformats.org/officeDocument/2006/relationships/hyperlink" Target="https://www.s-polytec.de/" TargetMode="External"/><Relationship Id="rId36" Type="http://schemas.openxmlformats.org/officeDocument/2006/relationships/hyperlink" Target="https://de.elv.com/" TargetMode="External"/><Relationship Id="rId10" Type="http://schemas.openxmlformats.org/officeDocument/2006/relationships/hyperlink" Target="https://norelem.de/de/" TargetMode="External"/><Relationship Id="rId19" Type="http://schemas.openxmlformats.org/officeDocument/2006/relationships/hyperlink" Target="https://www.gemmel-metalle.de/" TargetMode="External"/><Relationship Id="rId31" Type="http://schemas.openxmlformats.org/officeDocument/2006/relationships/hyperlink" Target="https://www.wdscomponents.com/de" TargetMode="External"/><Relationship Id="rId4" Type="http://schemas.openxmlformats.org/officeDocument/2006/relationships/hyperlink" Target="https://www.haberkorn.com/" TargetMode="External"/><Relationship Id="rId9" Type="http://schemas.openxmlformats.org/officeDocument/2006/relationships/hyperlink" Target="https://www.kugellager-express.de/" TargetMode="External"/><Relationship Id="rId14" Type="http://schemas.openxmlformats.org/officeDocument/2006/relationships/hyperlink" Target="https://www.reichelt.at/" TargetMode="External"/><Relationship Id="rId22" Type="http://schemas.openxmlformats.org/officeDocument/2006/relationships/hyperlink" Target="https://metall-fachhandel.de/" TargetMode="External"/><Relationship Id="rId27" Type="http://schemas.openxmlformats.org/officeDocument/2006/relationships/hyperlink" Target="https://eshop.wuerth.at/de/DE/EUR/" TargetMode="External"/><Relationship Id="rId30" Type="http://schemas.openxmlformats.org/officeDocument/2006/relationships/hyperlink" Target="https://eu.robotshop.com/de" TargetMode="External"/><Relationship Id="rId35" Type="http://schemas.openxmlformats.org/officeDocument/2006/relationships/hyperlink" Target="https://eckstein-shop.de/Startseite" TargetMode="External"/><Relationship Id="rId43" Type="http://schemas.openxmlformats.org/officeDocument/2006/relationships/hyperlink" Target="https://www.bauhaus.at/" TargetMode="External"/><Relationship Id="rId8" Type="http://schemas.openxmlformats.org/officeDocument/2006/relationships/hyperlink" Target="https://www.eurocircuits.com/" TargetMode="External"/><Relationship Id="rId3" Type="http://schemas.openxmlformats.org/officeDocument/2006/relationships/hyperlink" Target="https://www.mouser.at/" TargetMode="External"/><Relationship Id="rId12" Type="http://schemas.openxmlformats.org/officeDocument/2006/relationships/hyperlink" Target="https://de.misumi-ec.com/" TargetMode="External"/><Relationship Id="rId17" Type="http://schemas.openxmlformats.org/officeDocument/2006/relationships/hyperlink" Target="https://www.hoffmann-group.com/AT/de/hoa/" TargetMode="External"/><Relationship Id="rId25" Type="http://schemas.openxmlformats.org/officeDocument/2006/relationships/hyperlink" Target="https://www.ragg-stahlhandel.com/" TargetMode="External"/><Relationship Id="rId33" Type="http://schemas.openxmlformats.org/officeDocument/2006/relationships/hyperlink" Target="https://www.funkenflug.co.at/" TargetMode="External"/><Relationship Id="rId38" Type="http://schemas.openxmlformats.org/officeDocument/2006/relationships/hyperlink" Target="https://www.dold-mechatronik.d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2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1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O72"/>
  <sheetViews>
    <sheetView tabSelected="1" topLeftCell="B1" zoomScale="75" zoomScaleNormal="100" workbookViewId="0">
      <selection activeCell="O12" sqref="O12"/>
    </sheetView>
  </sheetViews>
  <sheetFormatPr baseColWidth="10" defaultColWidth="11.3984375" defaultRowHeight="14.25" x14ac:dyDescent="0.45"/>
  <cols>
    <col min="2" max="2" width="7.73046875" bestFit="1" customWidth="1"/>
    <col min="3" max="3" width="28.265625" customWidth="1"/>
    <col min="4" max="4" width="13" customWidth="1"/>
    <col min="5" max="5" width="22.1328125" bestFit="1" customWidth="1"/>
    <col min="6" max="6" width="28" customWidth="1"/>
    <col min="7" max="7" width="9.265625" bestFit="1" customWidth="1"/>
    <col min="8" max="8" width="12.73046875" customWidth="1"/>
    <col min="9" max="9" width="15" bestFit="1" customWidth="1"/>
    <col min="10" max="10" width="14.59765625" bestFit="1" customWidth="1"/>
    <col min="11" max="11" width="12.86328125" bestFit="1" customWidth="1"/>
    <col min="12" max="12" width="12.3984375" bestFit="1" customWidth="1"/>
    <col min="13" max="13" width="8.59765625" customWidth="1"/>
    <col min="14" max="14" width="13.59765625" bestFit="1" customWidth="1"/>
    <col min="15" max="15" width="63.265625" bestFit="1" customWidth="1"/>
  </cols>
  <sheetData>
    <row r="2" spans="2:15" x14ac:dyDescent="0.45">
      <c r="G2" s="10"/>
      <c r="H2" s="10"/>
    </row>
    <row r="3" spans="2:15" x14ac:dyDescent="0.4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45">
      <c r="C4" t="s">
        <v>179</v>
      </c>
      <c r="D4" t="s">
        <v>98</v>
      </c>
      <c r="E4" s="18" t="s">
        <v>180</v>
      </c>
      <c r="F4" s="13" t="s">
        <v>178</v>
      </c>
      <c r="G4">
        <v>1</v>
      </c>
      <c r="I4" s="14">
        <v>14.5</v>
      </c>
      <c r="J4" s="14">
        <v>12.083332853184825</v>
      </c>
      <c r="K4" s="14">
        <f t="shared" ref="K4" si="0">I4*G4*IF(ISBLANK(H4), 1, H4)</f>
        <v>14.5</v>
      </c>
      <c r="L4" s="14">
        <f t="shared" ref="L4" si="1">K4/1.2</f>
        <v>12.083333333333334</v>
      </c>
      <c r="M4" s="16"/>
      <c r="N4" s="15"/>
    </row>
    <row r="5" spans="2:15" x14ac:dyDescent="0.45">
      <c r="C5" t="s">
        <v>181</v>
      </c>
      <c r="D5" t="s">
        <v>98</v>
      </c>
      <c r="E5" s="18" t="s">
        <v>182</v>
      </c>
      <c r="F5" s="13" t="s">
        <v>183</v>
      </c>
      <c r="G5">
        <v>1</v>
      </c>
      <c r="I5" s="14">
        <v>5.04</v>
      </c>
      <c r="J5" s="14">
        <v>4.1999998331070012</v>
      </c>
      <c r="K5" s="14">
        <f t="shared" ref="K5:K32" si="2">I5*G5*IF(ISBLANK(H5), 1, H5)</f>
        <v>5.04</v>
      </c>
      <c r="L5" s="14">
        <f t="shared" ref="L5:L33" si="3">K5/1.2</f>
        <v>4.2</v>
      </c>
      <c r="M5" s="16"/>
      <c r="N5" s="15"/>
    </row>
    <row r="6" spans="2:15" x14ac:dyDescent="0.45">
      <c r="C6" t="s">
        <v>184</v>
      </c>
      <c r="D6" t="s">
        <v>98</v>
      </c>
      <c r="E6" s="18" t="s">
        <v>185</v>
      </c>
      <c r="F6" s="13" t="s">
        <v>186</v>
      </c>
      <c r="G6">
        <v>1</v>
      </c>
      <c r="I6" s="14">
        <v>1.52</v>
      </c>
      <c r="J6" s="14">
        <v>1.2666666163338576</v>
      </c>
      <c r="K6" s="14">
        <f t="shared" si="2"/>
        <v>1.52</v>
      </c>
      <c r="L6" s="14">
        <f t="shared" si="3"/>
        <v>1.2666666666666668</v>
      </c>
      <c r="M6" s="16"/>
      <c r="N6" s="15"/>
    </row>
    <row r="7" spans="2:15" x14ac:dyDescent="0.45">
      <c r="C7" t="s">
        <v>188</v>
      </c>
      <c r="D7" t="s">
        <v>98</v>
      </c>
      <c r="E7" s="18" t="s">
        <v>187</v>
      </c>
      <c r="F7" s="13" t="s">
        <v>189</v>
      </c>
      <c r="G7">
        <v>1</v>
      </c>
      <c r="I7" s="14">
        <v>0.874</v>
      </c>
      <c r="J7" s="14">
        <v>0.72833330439196808</v>
      </c>
      <c r="K7" s="14">
        <f t="shared" si="2"/>
        <v>0.874</v>
      </c>
      <c r="L7" s="14">
        <f t="shared" si="3"/>
        <v>0.72833333333333339</v>
      </c>
      <c r="M7" s="16"/>
      <c r="N7" s="15"/>
    </row>
    <row r="8" spans="2:15" x14ac:dyDescent="0.45">
      <c r="C8" t="s">
        <v>190</v>
      </c>
      <c r="D8" t="s">
        <v>191</v>
      </c>
      <c r="E8" s="18" t="s">
        <v>192</v>
      </c>
      <c r="F8" s="13" t="s">
        <v>193</v>
      </c>
      <c r="G8">
        <v>1</v>
      </c>
      <c r="I8" s="14">
        <f>1.2*12.31</f>
        <v>14.772</v>
      </c>
      <c r="J8" s="14">
        <v>12.309999510844568</v>
      </c>
      <c r="K8" s="14">
        <f t="shared" si="2"/>
        <v>14.772</v>
      </c>
      <c r="L8" s="14">
        <f t="shared" si="3"/>
        <v>12.31</v>
      </c>
      <c r="M8" s="16"/>
      <c r="N8" s="15"/>
    </row>
    <row r="9" spans="2:15" x14ac:dyDescent="0.45">
      <c r="C9" t="s">
        <v>194</v>
      </c>
      <c r="D9" t="s">
        <v>98</v>
      </c>
      <c r="E9" s="18" t="s">
        <v>195</v>
      </c>
      <c r="F9" s="13" t="s">
        <v>196</v>
      </c>
      <c r="G9">
        <v>1</v>
      </c>
      <c r="I9" s="14">
        <v>2.6</v>
      </c>
      <c r="J9" s="14">
        <v>2.1666665805710723</v>
      </c>
      <c r="K9" s="14">
        <f t="shared" si="2"/>
        <v>2.6</v>
      </c>
      <c r="L9" s="14">
        <f t="shared" si="3"/>
        <v>2.166666666666667</v>
      </c>
      <c r="M9" s="16"/>
      <c r="N9" s="15"/>
    </row>
    <row r="10" spans="2:15" x14ac:dyDescent="0.45">
      <c r="C10" t="s">
        <v>197</v>
      </c>
      <c r="D10" t="s">
        <v>98</v>
      </c>
      <c r="E10" s="18" t="s">
        <v>199</v>
      </c>
      <c r="F10" s="13" t="s">
        <v>198</v>
      </c>
      <c r="G10">
        <v>1</v>
      </c>
      <c r="I10" s="14">
        <v>0.44700000000000001</v>
      </c>
      <c r="J10" s="14">
        <v>0.37249998519818045</v>
      </c>
      <c r="K10" s="14">
        <f t="shared" si="2"/>
        <v>0.44700000000000001</v>
      </c>
      <c r="L10" s="14">
        <f t="shared" si="3"/>
        <v>0.3725</v>
      </c>
      <c r="M10" s="16"/>
      <c r="N10" s="15"/>
    </row>
    <row r="11" spans="2:15" x14ac:dyDescent="0.45">
      <c r="C11" t="s">
        <v>200</v>
      </c>
      <c r="D11" t="s">
        <v>98</v>
      </c>
      <c r="E11" s="18" t="s">
        <v>202</v>
      </c>
      <c r="F11" s="13" t="s">
        <v>201</v>
      </c>
      <c r="G11">
        <v>2</v>
      </c>
      <c r="I11" s="14">
        <v>0.54200000000000004</v>
      </c>
      <c r="J11" s="14">
        <v>0.4516666487190466</v>
      </c>
      <c r="K11" s="14">
        <f t="shared" si="2"/>
        <v>1.0840000000000001</v>
      </c>
      <c r="L11" s="14">
        <f t="shared" si="3"/>
        <v>0.90333333333333343</v>
      </c>
      <c r="M11" s="16"/>
      <c r="N11" s="15"/>
    </row>
    <row r="12" spans="2:15" x14ac:dyDescent="0.45">
      <c r="C12" t="s">
        <v>203</v>
      </c>
      <c r="D12" t="s">
        <v>98</v>
      </c>
      <c r="E12" s="18" t="s">
        <v>204</v>
      </c>
      <c r="F12" s="13" t="s">
        <v>205</v>
      </c>
      <c r="G12">
        <v>2</v>
      </c>
      <c r="I12" s="14">
        <v>4.01</v>
      </c>
      <c r="J12" s="14">
        <v>3.3416665338807685</v>
      </c>
      <c r="K12" s="14">
        <f t="shared" si="2"/>
        <v>8.02</v>
      </c>
      <c r="L12" s="14">
        <f t="shared" si="3"/>
        <v>6.6833333333333336</v>
      </c>
      <c r="M12" s="16"/>
      <c r="N12" s="15"/>
    </row>
    <row r="13" spans="2:15" x14ac:dyDescent="0.45">
      <c r="C13" t="s">
        <v>206</v>
      </c>
      <c r="D13" t="s">
        <v>98</v>
      </c>
      <c r="E13" s="18" t="s">
        <v>210</v>
      </c>
      <c r="F13" s="13" t="s">
        <v>209</v>
      </c>
      <c r="G13">
        <v>1</v>
      </c>
      <c r="I13" s="14">
        <v>5.28</v>
      </c>
      <c r="J13" s="14">
        <v>4.3999998251597159</v>
      </c>
      <c r="K13" s="14">
        <f t="shared" si="2"/>
        <v>5.28</v>
      </c>
      <c r="L13" s="14">
        <f t="shared" si="3"/>
        <v>4.4000000000000004</v>
      </c>
      <c r="M13" s="16"/>
      <c r="N13" s="15"/>
    </row>
    <row r="14" spans="2:15" x14ac:dyDescent="0.45">
      <c r="C14" t="s">
        <v>207</v>
      </c>
      <c r="D14" t="s">
        <v>98</v>
      </c>
      <c r="E14" s="18" t="s">
        <v>211</v>
      </c>
      <c r="F14" s="13" t="s">
        <v>212</v>
      </c>
      <c r="G14">
        <v>1</v>
      </c>
      <c r="I14" s="14">
        <v>5.28</v>
      </c>
      <c r="J14" s="14">
        <v>4.3999998251597159</v>
      </c>
      <c r="K14" s="14">
        <f t="shared" si="2"/>
        <v>5.28</v>
      </c>
      <c r="L14" s="14">
        <f t="shared" si="3"/>
        <v>4.4000000000000004</v>
      </c>
      <c r="M14" s="16"/>
      <c r="N14" s="15"/>
    </row>
    <row r="15" spans="2:15" x14ac:dyDescent="0.45">
      <c r="C15" t="s">
        <v>208</v>
      </c>
      <c r="D15" t="s">
        <v>191</v>
      </c>
      <c r="E15" s="18" t="s">
        <v>213</v>
      </c>
      <c r="F15" s="13" t="s">
        <v>214</v>
      </c>
      <c r="G15">
        <v>1</v>
      </c>
      <c r="I15" s="14">
        <f>1.2*0.322</f>
        <v>0.38640000000000002</v>
      </c>
      <c r="J15" s="14">
        <v>0.32199998720487011</v>
      </c>
      <c r="K15" s="14">
        <f t="shared" si="2"/>
        <v>0.38640000000000002</v>
      </c>
      <c r="L15" s="14">
        <f t="shared" si="3"/>
        <v>0.32200000000000001</v>
      </c>
      <c r="M15" s="16"/>
      <c r="N15" s="15"/>
    </row>
    <row r="16" spans="2:15" x14ac:dyDescent="0.45">
      <c r="C16" t="s">
        <v>215</v>
      </c>
      <c r="D16" t="s">
        <v>98</v>
      </c>
      <c r="E16" s="18" t="s">
        <v>219</v>
      </c>
      <c r="F16" s="13" t="s">
        <v>222</v>
      </c>
      <c r="G16">
        <v>1</v>
      </c>
      <c r="I16" s="14">
        <v>0.77</v>
      </c>
      <c r="J16" s="14">
        <v>0.6416666411691252</v>
      </c>
      <c r="K16" s="14">
        <f t="shared" si="2"/>
        <v>0.77</v>
      </c>
      <c r="L16" s="14">
        <f t="shared" si="3"/>
        <v>0.64166666666666672</v>
      </c>
      <c r="M16" s="16"/>
      <c r="N16" s="15"/>
    </row>
    <row r="17" spans="3:14" x14ac:dyDescent="0.45">
      <c r="C17" t="s">
        <v>216</v>
      </c>
      <c r="D17" t="s">
        <v>98</v>
      </c>
      <c r="E17" s="18" t="s">
        <v>220</v>
      </c>
      <c r="F17" s="13" t="s">
        <v>221</v>
      </c>
      <c r="G17">
        <v>2</v>
      </c>
      <c r="I17" s="14">
        <v>0.2</v>
      </c>
      <c r="J17" s="14">
        <v>0.16666666004392863</v>
      </c>
      <c r="K17" s="14">
        <f t="shared" si="2"/>
        <v>0.4</v>
      </c>
      <c r="L17" s="14">
        <f t="shared" si="3"/>
        <v>0.33333333333333337</v>
      </c>
      <c r="M17" s="16"/>
      <c r="N17" s="15"/>
    </row>
    <row r="18" spans="3:14" x14ac:dyDescent="0.45">
      <c r="C18" t="s">
        <v>217</v>
      </c>
      <c r="D18" t="s">
        <v>98</v>
      </c>
      <c r="E18" s="18" t="s">
        <v>223</v>
      </c>
      <c r="F18" s="13" t="s">
        <v>224</v>
      </c>
      <c r="G18">
        <v>2</v>
      </c>
      <c r="I18" s="14">
        <v>0.25700000000000001</v>
      </c>
      <c r="J18" s="14">
        <v>0.21416665815644828</v>
      </c>
      <c r="K18" s="14">
        <f t="shared" si="2"/>
        <v>0.51400000000000001</v>
      </c>
      <c r="L18" s="14">
        <f t="shared" si="3"/>
        <v>0.42833333333333334</v>
      </c>
      <c r="M18" s="16"/>
      <c r="N18" s="15"/>
    </row>
    <row r="19" spans="3:14" x14ac:dyDescent="0.45">
      <c r="C19" t="s">
        <v>218</v>
      </c>
      <c r="D19" t="s">
        <v>98</v>
      </c>
      <c r="E19" s="18" t="s">
        <v>225</v>
      </c>
      <c r="F19" s="13" t="s">
        <v>226</v>
      </c>
      <c r="G19">
        <v>2</v>
      </c>
      <c r="I19" s="14">
        <v>0.114</v>
      </c>
      <c r="J19" s="14">
        <v>9.4999996225039324E-2</v>
      </c>
      <c r="K19" s="14">
        <f t="shared" si="2"/>
        <v>0.22800000000000001</v>
      </c>
      <c r="L19" s="14">
        <f t="shared" si="3"/>
        <v>0.19</v>
      </c>
      <c r="M19" s="16"/>
      <c r="N19" s="15"/>
    </row>
    <row r="20" spans="3:14" x14ac:dyDescent="0.45">
      <c r="C20" t="s">
        <v>229</v>
      </c>
      <c r="D20" t="s">
        <v>98</v>
      </c>
      <c r="E20" s="18" t="s">
        <v>227</v>
      </c>
      <c r="F20" s="13" t="s">
        <v>228</v>
      </c>
      <c r="G20">
        <v>1</v>
      </c>
      <c r="I20" s="14">
        <v>1.26</v>
      </c>
      <c r="J20" s="14">
        <v>1.0499999582767503</v>
      </c>
      <c r="K20" s="14">
        <f t="shared" si="2"/>
        <v>1.26</v>
      </c>
      <c r="L20" s="14">
        <f t="shared" si="3"/>
        <v>1.05</v>
      </c>
      <c r="M20" s="16"/>
      <c r="N20" s="15"/>
    </row>
    <row r="21" spans="3:14" x14ac:dyDescent="0.45">
      <c r="C21" t="s">
        <v>232</v>
      </c>
      <c r="D21" t="s">
        <v>98</v>
      </c>
      <c r="E21" s="18" t="s">
        <v>230</v>
      </c>
      <c r="F21" s="13" t="s">
        <v>231</v>
      </c>
      <c r="G21">
        <v>1</v>
      </c>
      <c r="I21" s="14">
        <v>0.30399999999999999</v>
      </c>
      <c r="J21" s="14">
        <v>0.25333332326677149</v>
      </c>
      <c r="K21" s="14">
        <f t="shared" si="2"/>
        <v>0.30399999999999999</v>
      </c>
      <c r="L21" s="14">
        <f t="shared" si="3"/>
        <v>0.25333333333333335</v>
      </c>
      <c r="M21" s="16"/>
      <c r="N21" s="15"/>
    </row>
    <row r="22" spans="3:14" x14ac:dyDescent="0.45">
      <c r="C22" t="s">
        <v>241</v>
      </c>
      <c r="D22" t="s">
        <v>98</v>
      </c>
      <c r="E22" s="18" t="s">
        <v>239</v>
      </c>
      <c r="F22" s="13" t="s">
        <v>240</v>
      </c>
      <c r="G22">
        <v>1</v>
      </c>
      <c r="I22" s="14">
        <v>0.91200000000000003</v>
      </c>
      <c r="J22" s="14">
        <v>0.75999996980031459</v>
      </c>
      <c r="K22" s="14">
        <f t="shared" si="2"/>
        <v>0.91200000000000003</v>
      </c>
      <c r="L22" s="14">
        <f t="shared" si="3"/>
        <v>0.76</v>
      </c>
      <c r="M22" s="16"/>
      <c r="N22" s="15"/>
    </row>
    <row r="23" spans="3:14" x14ac:dyDescent="0.45">
      <c r="C23" t="s">
        <v>233</v>
      </c>
      <c r="D23" t="s">
        <v>98</v>
      </c>
      <c r="E23" s="18" t="s">
        <v>235</v>
      </c>
      <c r="F23" s="13" t="s">
        <v>236</v>
      </c>
      <c r="G23">
        <v>2</v>
      </c>
      <c r="I23" s="14">
        <v>1.08</v>
      </c>
      <c r="J23" s="14">
        <v>0.89999996423721462</v>
      </c>
      <c r="K23" s="14">
        <f t="shared" si="2"/>
        <v>2.16</v>
      </c>
      <c r="L23" s="14">
        <f t="shared" si="3"/>
        <v>1.8000000000000003</v>
      </c>
      <c r="M23" s="16"/>
      <c r="N23" s="15"/>
    </row>
    <row r="24" spans="3:14" x14ac:dyDescent="0.45">
      <c r="C24" t="s">
        <v>234</v>
      </c>
      <c r="D24" t="s">
        <v>98</v>
      </c>
      <c r="E24" s="18" t="s">
        <v>237</v>
      </c>
      <c r="F24" s="13" t="s">
        <v>238</v>
      </c>
      <c r="G24">
        <v>4</v>
      </c>
      <c r="I24" s="14">
        <v>0.25700000000000001</v>
      </c>
      <c r="J24" s="14">
        <v>0.21416665815644828</v>
      </c>
      <c r="K24" s="14">
        <f t="shared" si="2"/>
        <v>1.028</v>
      </c>
      <c r="L24" s="14">
        <f t="shared" si="3"/>
        <v>0.85666666666666669</v>
      </c>
      <c r="M24" s="16"/>
      <c r="N24" s="15"/>
    </row>
    <row r="25" spans="3:14" x14ac:dyDescent="0.45">
      <c r="C25" s="30">
        <v>691210910004</v>
      </c>
      <c r="D25" t="s">
        <v>98</v>
      </c>
      <c r="E25" s="18" t="s">
        <v>242</v>
      </c>
      <c r="F25" s="13" t="s">
        <v>243</v>
      </c>
      <c r="G25">
        <v>2</v>
      </c>
      <c r="I25" s="14">
        <v>1.67</v>
      </c>
      <c r="J25" s="14">
        <v>1.3916666113668039</v>
      </c>
      <c r="K25" s="14">
        <f t="shared" si="2"/>
        <v>3.34</v>
      </c>
      <c r="L25" s="14">
        <f t="shared" si="3"/>
        <v>2.7833333333333332</v>
      </c>
      <c r="M25" s="16"/>
      <c r="N25" s="15"/>
    </row>
    <row r="26" spans="3:14" x14ac:dyDescent="0.45">
      <c r="C26" s="30">
        <v>691214110002</v>
      </c>
      <c r="D26" t="s">
        <v>98</v>
      </c>
      <c r="E26" s="18" t="s">
        <v>244</v>
      </c>
      <c r="F26" s="13" t="s">
        <v>245</v>
      </c>
      <c r="G26">
        <v>5</v>
      </c>
      <c r="I26" s="14">
        <v>0.751</v>
      </c>
      <c r="J26" s="14">
        <v>0.625833308464952</v>
      </c>
      <c r="K26" s="14">
        <f t="shared" si="2"/>
        <v>3.7549999999999999</v>
      </c>
      <c r="L26" s="14">
        <f t="shared" si="3"/>
        <v>3.1291666666666669</v>
      </c>
      <c r="M26" s="16"/>
      <c r="N26" s="15"/>
    </row>
    <row r="27" spans="3:14" x14ac:dyDescent="0.45">
      <c r="C27" t="s">
        <v>246</v>
      </c>
      <c r="D27" t="s">
        <v>98</v>
      </c>
      <c r="E27" s="18" t="s">
        <v>247</v>
      </c>
      <c r="F27" s="13" t="s">
        <v>248</v>
      </c>
      <c r="G27">
        <v>1</v>
      </c>
      <c r="I27" s="14">
        <v>3.77</v>
      </c>
      <c r="J27" s="14">
        <v>3.1416665418280547</v>
      </c>
      <c r="K27" s="14">
        <f t="shared" si="2"/>
        <v>3.77</v>
      </c>
      <c r="L27" s="14">
        <f t="shared" si="3"/>
        <v>3.1416666666666666</v>
      </c>
      <c r="M27" s="16"/>
      <c r="N27" s="15"/>
    </row>
    <row r="28" spans="3:14" x14ac:dyDescent="0.45">
      <c r="C28" s="31">
        <v>61300211121</v>
      </c>
      <c r="D28" t="s">
        <v>98</v>
      </c>
      <c r="E28" s="18" t="s">
        <v>249</v>
      </c>
      <c r="F28" s="13" t="s">
        <v>250</v>
      </c>
      <c r="G28">
        <v>10</v>
      </c>
      <c r="I28" s="14">
        <v>9.7000000000000003E-2</v>
      </c>
      <c r="J28" s="14">
        <v>8.0833330121305377E-2</v>
      </c>
      <c r="K28" s="14">
        <f t="shared" si="2"/>
        <v>0.97</v>
      </c>
      <c r="L28" s="14">
        <f t="shared" si="3"/>
        <v>0.80833333333333335</v>
      </c>
      <c r="M28" s="16"/>
      <c r="N28" s="15"/>
    </row>
    <row r="29" spans="3:14" x14ac:dyDescent="0.45">
      <c r="C29" s="31">
        <v>61301021121</v>
      </c>
      <c r="D29" t="s">
        <v>98</v>
      </c>
      <c r="E29" s="18" t="s">
        <v>251</v>
      </c>
      <c r="F29" s="13" t="s">
        <v>252</v>
      </c>
      <c r="G29">
        <v>5</v>
      </c>
      <c r="I29" s="14">
        <v>0.95</v>
      </c>
      <c r="J29" s="14">
        <v>0.79166663520866087</v>
      </c>
      <c r="K29" s="14">
        <f t="shared" si="2"/>
        <v>4.75</v>
      </c>
      <c r="L29" s="14">
        <f t="shared" si="3"/>
        <v>3.9583333333333335</v>
      </c>
      <c r="M29" s="16"/>
      <c r="N29" s="15"/>
    </row>
    <row r="30" spans="3:14" x14ac:dyDescent="0.45">
      <c r="C30" t="s">
        <v>253</v>
      </c>
      <c r="D30" t="s">
        <v>98</v>
      </c>
      <c r="E30" s="18" t="s">
        <v>254</v>
      </c>
      <c r="F30" s="13" t="s">
        <v>255</v>
      </c>
      <c r="G30">
        <v>4</v>
      </c>
      <c r="I30" s="14">
        <v>0.25700000000000001</v>
      </c>
      <c r="J30" s="14">
        <v>0.21416665815644828</v>
      </c>
      <c r="K30" s="14">
        <f t="shared" si="2"/>
        <v>1.028</v>
      </c>
      <c r="L30" s="14">
        <f t="shared" si="3"/>
        <v>0.85666666666666669</v>
      </c>
      <c r="M30" s="16"/>
      <c r="N30" s="15"/>
    </row>
    <row r="31" spans="3:14" x14ac:dyDescent="0.45">
      <c r="C31" t="s">
        <v>257</v>
      </c>
      <c r="D31" t="s">
        <v>98</v>
      </c>
      <c r="E31" s="18" t="s">
        <v>256</v>
      </c>
      <c r="F31" s="13" t="s">
        <v>258</v>
      </c>
      <c r="G31">
        <v>1</v>
      </c>
      <c r="I31" s="14">
        <v>0.114</v>
      </c>
      <c r="J31" s="14">
        <v>9.4999996225039324E-2</v>
      </c>
      <c r="K31" s="14">
        <f t="shared" si="2"/>
        <v>0.114</v>
      </c>
      <c r="L31" s="14">
        <f t="shared" si="3"/>
        <v>9.5000000000000001E-2</v>
      </c>
      <c r="M31" s="16"/>
      <c r="N31" s="15"/>
    </row>
    <row r="32" spans="3:14" x14ac:dyDescent="0.45">
      <c r="C32" t="s">
        <v>259</v>
      </c>
      <c r="D32" t="s">
        <v>98</v>
      </c>
      <c r="E32" s="18" t="s">
        <v>260</v>
      </c>
      <c r="F32" s="13" t="s">
        <v>261</v>
      </c>
      <c r="G32">
        <v>1</v>
      </c>
      <c r="I32" s="14">
        <v>9.5000000000000001E-2</v>
      </c>
      <c r="J32" s="14">
        <v>7.9166663520866098E-2</v>
      </c>
      <c r="K32" s="14">
        <f t="shared" si="2"/>
        <v>9.5000000000000001E-2</v>
      </c>
      <c r="L32" s="14">
        <f t="shared" si="3"/>
        <v>7.9166666666666677E-2</v>
      </c>
      <c r="M32" s="16"/>
      <c r="N32" s="15"/>
    </row>
    <row r="33" spans="2:15" x14ac:dyDescent="0.45">
      <c r="C33" t="s">
        <v>338</v>
      </c>
      <c r="D33" t="s">
        <v>98</v>
      </c>
      <c r="E33" s="18" t="s">
        <v>337</v>
      </c>
      <c r="F33" s="19" t="s">
        <v>339</v>
      </c>
      <c r="G33">
        <v>1</v>
      </c>
      <c r="I33" s="14">
        <v>1.86</v>
      </c>
      <c r="J33" s="14">
        <v>1.5499999384085363</v>
      </c>
      <c r="K33" s="14">
        <v>1.86</v>
      </c>
      <c r="L33" s="14">
        <f t="shared" si="3"/>
        <v>1.55</v>
      </c>
      <c r="M33" s="16"/>
      <c r="N33" s="15"/>
    </row>
    <row r="34" spans="2:15" x14ac:dyDescent="0.45">
      <c r="B34" s="25"/>
      <c r="C34" s="25" t="s">
        <v>262</v>
      </c>
      <c r="D34" s="25" t="s">
        <v>98</v>
      </c>
      <c r="E34" s="32" t="s">
        <v>264</v>
      </c>
      <c r="F34" s="33" t="s">
        <v>263</v>
      </c>
      <c r="G34" s="25">
        <v>1</v>
      </c>
      <c r="H34" s="25"/>
      <c r="I34" s="34">
        <v>1.02</v>
      </c>
      <c r="J34" s="34">
        <v>0.84999996622403595</v>
      </c>
      <c r="K34" s="34">
        <f t="shared" ref="K34:K54" si="4">I34*G34*IF(ISBLANK(H34), 1, H34)</f>
        <v>1.02</v>
      </c>
      <c r="L34" s="34">
        <f t="shared" ref="L34:L54" si="5">K34/1.2</f>
        <v>0.85000000000000009</v>
      </c>
      <c r="M34" s="35"/>
      <c r="N34" s="36"/>
      <c r="O34" s="25" t="s">
        <v>274</v>
      </c>
    </row>
    <row r="35" spans="2:15" x14ac:dyDescent="0.45">
      <c r="C35" t="s">
        <v>265</v>
      </c>
      <c r="D35" t="s">
        <v>98</v>
      </c>
      <c r="E35" s="18" t="s">
        <v>266</v>
      </c>
      <c r="F35" s="13" t="s">
        <v>267</v>
      </c>
      <c r="G35">
        <v>1</v>
      </c>
      <c r="I35" s="14">
        <v>0.70299999999999996</v>
      </c>
      <c r="J35" s="14">
        <v>0.58583331005440908</v>
      </c>
      <c r="K35" s="14">
        <f t="shared" si="4"/>
        <v>0.70299999999999996</v>
      </c>
      <c r="L35" s="14">
        <f t="shared" si="5"/>
        <v>0.58583333333333332</v>
      </c>
      <c r="M35" s="16"/>
      <c r="N35" s="15"/>
      <c r="O35" t="s">
        <v>275</v>
      </c>
    </row>
    <row r="36" spans="2:15" x14ac:dyDescent="0.45">
      <c r="C36" t="s">
        <v>334</v>
      </c>
      <c r="D36" t="s">
        <v>98</v>
      </c>
      <c r="E36" s="18" t="s">
        <v>335</v>
      </c>
      <c r="F36" s="13" t="s">
        <v>336</v>
      </c>
      <c r="G36">
        <v>3</v>
      </c>
      <c r="I36" s="14">
        <v>0.60799999999999998</v>
      </c>
      <c r="J36" s="14">
        <v>0.50666664653354299</v>
      </c>
      <c r="K36" s="14">
        <f t="shared" si="4"/>
        <v>1.8239999999999998</v>
      </c>
      <c r="L36" s="14">
        <f t="shared" si="5"/>
        <v>1.52</v>
      </c>
      <c r="M36" s="16"/>
      <c r="N36" s="15"/>
      <c r="O36" t="s">
        <v>278</v>
      </c>
    </row>
    <row r="37" spans="2:15" x14ac:dyDescent="0.45">
      <c r="C37" t="s">
        <v>268</v>
      </c>
      <c r="D37" t="s">
        <v>98</v>
      </c>
      <c r="E37" s="18" t="s">
        <v>269</v>
      </c>
      <c r="F37" s="13" t="s">
        <v>270</v>
      </c>
      <c r="G37">
        <v>1</v>
      </c>
      <c r="I37" s="14">
        <v>0.52300000000000002</v>
      </c>
      <c r="J37" s="14">
        <v>0.43583331601487335</v>
      </c>
      <c r="K37" s="14">
        <f t="shared" si="4"/>
        <v>0.52300000000000002</v>
      </c>
      <c r="L37" s="14">
        <f t="shared" si="5"/>
        <v>0.43583333333333335</v>
      </c>
      <c r="M37" s="16"/>
      <c r="N37" s="15"/>
      <c r="O37" t="s">
        <v>276</v>
      </c>
    </row>
    <row r="38" spans="2:15" x14ac:dyDescent="0.45">
      <c r="C38" t="s">
        <v>271</v>
      </c>
      <c r="D38" t="s">
        <v>98</v>
      </c>
      <c r="E38" s="18" t="s">
        <v>272</v>
      </c>
      <c r="F38" s="13" t="s">
        <v>273</v>
      </c>
      <c r="G38">
        <v>1</v>
      </c>
      <c r="I38" s="14">
        <v>0.314</v>
      </c>
      <c r="J38" s="14">
        <v>0.26166665626896796</v>
      </c>
      <c r="K38" s="14">
        <f t="shared" si="4"/>
        <v>0.314</v>
      </c>
      <c r="L38" s="14">
        <f t="shared" si="5"/>
        <v>0.26166666666666666</v>
      </c>
      <c r="M38" s="16"/>
      <c r="N38" s="15"/>
      <c r="O38" t="s">
        <v>277</v>
      </c>
    </row>
    <row r="39" spans="2:15" x14ac:dyDescent="0.45">
      <c r="C39" t="s">
        <v>279</v>
      </c>
      <c r="D39" t="s">
        <v>98</v>
      </c>
      <c r="E39" s="18" t="s">
        <v>280</v>
      </c>
      <c r="F39" s="13" t="s">
        <v>281</v>
      </c>
      <c r="G39">
        <v>1</v>
      </c>
      <c r="I39" s="14">
        <v>0.14299999999999999</v>
      </c>
      <c r="J39" s="14">
        <v>0.11916666193140896</v>
      </c>
      <c r="K39" s="14">
        <f t="shared" si="4"/>
        <v>0.14299999999999999</v>
      </c>
      <c r="L39" s="14">
        <f t="shared" si="5"/>
        <v>0.11916666666666666</v>
      </c>
      <c r="M39" s="16"/>
      <c r="N39" s="15"/>
      <c r="O39" t="s">
        <v>347</v>
      </c>
    </row>
    <row r="40" spans="2:15" x14ac:dyDescent="0.45">
      <c r="B40" s="38"/>
      <c r="C40" s="38" t="s">
        <v>282</v>
      </c>
      <c r="D40" s="38" t="s">
        <v>98</v>
      </c>
      <c r="E40" s="39" t="s">
        <v>283</v>
      </c>
      <c r="F40" s="40" t="s">
        <v>284</v>
      </c>
      <c r="G40" s="38">
        <v>1</v>
      </c>
      <c r="H40" s="38"/>
      <c r="I40" s="41">
        <v>0.13300000000000001</v>
      </c>
      <c r="J40" s="41">
        <v>0.11083332892921254</v>
      </c>
      <c r="K40" s="41">
        <f t="shared" si="4"/>
        <v>0.13300000000000001</v>
      </c>
      <c r="L40" s="41">
        <f t="shared" si="5"/>
        <v>0.11083333333333334</v>
      </c>
      <c r="M40" s="42"/>
      <c r="N40" s="43"/>
      <c r="O40" s="38" t="s">
        <v>348</v>
      </c>
    </row>
    <row r="41" spans="2:15" x14ac:dyDescent="0.45">
      <c r="B41" s="38"/>
      <c r="C41" s="38" t="s">
        <v>313</v>
      </c>
      <c r="D41" s="38" t="s">
        <v>98</v>
      </c>
      <c r="E41" s="39" t="s">
        <v>319</v>
      </c>
      <c r="F41" s="40" t="s">
        <v>320</v>
      </c>
      <c r="G41" s="38">
        <v>2</v>
      </c>
      <c r="H41" s="38"/>
      <c r="I41" s="41">
        <v>0.26600000000000001</v>
      </c>
      <c r="J41" s="41">
        <v>0.22166665785842507</v>
      </c>
      <c r="K41" s="41">
        <f>I41*G41*IF(ISBLANK(H41), 1, H41)</f>
        <v>0.53200000000000003</v>
      </c>
      <c r="L41" s="41">
        <f>K41/1.2</f>
        <v>0.44333333333333336</v>
      </c>
      <c r="M41" s="42"/>
      <c r="N41" s="43"/>
      <c r="O41" s="38" t="s">
        <v>340</v>
      </c>
    </row>
    <row r="42" spans="2:15" x14ac:dyDescent="0.45">
      <c r="C42" t="s">
        <v>314</v>
      </c>
      <c r="D42" t="s">
        <v>98</v>
      </c>
      <c r="E42" s="18" t="s">
        <v>321</v>
      </c>
      <c r="F42" s="13" t="s">
        <v>322</v>
      </c>
      <c r="G42">
        <v>3</v>
      </c>
      <c r="I42" s="14">
        <v>0.44700000000000001</v>
      </c>
      <c r="J42" s="14">
        <v>0.37249998519818045</v>
      </c>
      <c r="K42" s="14">
        <f>I42*G42*IF(ISBLANK(H42), 1, H42)</f>
        <v>1.341</v>
      </c>
      <c r="L42" s="14">
        <f>K42/1.2</f>
        <v>1.1174999999999999</v>
      </c>
      <c r="M42" s="16"/>
      <c r="N42" s="15"/>
      <c r="O42" t="s">
        <v>341</v>
      </c>
    </row>
    <row r="43" spans="2:15" x14ac:dyDescent="0.45">
      <c r="C43" t="s">
        <v>315</v>
      </c>
      <c r="D43" t="s">
        <v>98</v>
      </c>
      <c r="E43" s="18" t="s">
        <v>323</v>
      </c>
      <c r="F43" s="13" t="s">
        <v>324</v>
      </c>
      <c r="G43">
        <v>2</v>
      </c>
      <c r="I43" s="14">
        <v>0.53200000000000003</v>
      </c>
      <c r="J43" s="14">
        <v>0.44333331571685014</v>
      </c>
      <c r="K43" s="14">
        <f>I43*G43*IF(ISBLANK(H43), 1, H43)</f>
        <v>1.0640000000000001</v>
      </c>
      <c r="L43" s="14">
        <f>K43/1.2</f>
        <v>0.88666666666666671</v>
      </c>
      <c r="M43" s="16"/>
      <c r="N43" s="15"/>
      <c r="O43" t="s">
        <v>342</v>
      </c>
    </row>
    <row r="44" spans="2:15" x14ac:dyDescent="0.45">
      <c r="C44" t="s">
        <v>316</v>
      </c>
      <c r="D44" t="s">
        <v>98</v>
      </c>
      <c r="E44" s="18" t="s">
        <v>325</v>
      </c>
      <c r="F44" s="13" t="s">
        <v>327</v>
      </c>
      <c r="G44">
        <v>2</v>
      </c>
      <c r="I44" s="14">
        <v>0.29499999999999998</v>
      </c>
      <c r="J44" s="14">
        <v>0.2458333235647947</v>
      </c>
      <c r="K44" s="14">
        <f>I44*G44*IF(ISBLANK(H44), 1, H44)</f>
        <v>0.59</v>
      </c>
      <c r="L44" s="14">
        <f>K44/1.2</f>
        <v>0.49166666666666664</v>
      </c>
      <c r="M44" s="16"/>
      <c r="N44" s="15"/>
      <c r="O44" t="s">
        <v>343</v>
      </c>
    </row>
    <row r="45" spans="2:15" x14ac:dyDescent="0.45">
      <c r="C45" t="s">
        <v>317</v>
      </c>
      <c r="D45" t="s">
        <v>98</v>
      </c>
      <c r="E45" s="18" t="s">
        <v>326</v>
      </c>
      <c r="F45" s="13" t="s">
        <v>328</v>
      </c>
      <c r="G45">
        <v>2</v>
      </c>
      <c r="I45" s="14">
        <v>9.5000000000000001E-2</v>
      </c>
      <c r="J45" s="14">
        <v>7.9166663520866098E-2</v>
      </c>
      <c r="K45" s="14">
        <f>I45*G45*IF(ISBLANK(H45), 1, H45)</f>
        <v>0.19</v>
      </c>
      <c r="L45" s="14">
        <f>K45/1.2</f>
        <v>0.15833333333333335</v>
      </c>
      <c r="M45" s="16"/>
      <c r="N45" s="15"/>
      <c r="O45" t="s">
        <v>344</v>
      </c>
    </row>
    <row r="46" spans="2:15" x14ac:dyDescent="0.45">
      <c r="C46" t="s">
        <v>318</v>
      </c>
      <c r="D46" t="s">
        <v>98</v>
      </c>
      <c r="E46" s="18" t="s">
        <v>330</v>
      </c>
      <c r="F46" s="13" t="s">
        <v>329</v>
      </c>
      <c r="G46">
        <v>2</v>
      </c>
      <c r="I46" s="14">
        <v>9.5000000000000001E-2</v>
      </c>
      <c r="J46" s="14">
        <v>7.9166663520866098E-2</v>
      </c>
      <c r="K46" s="14">
        <f>I46*G46*IF(ISBLANK(H46), 1, H46)</f>
        <v>0.19</v>
      </c>
      <c r="L46" s="14">
        <f>K46/1.2</f>
        <v>0.15833333333333335</v>
      </c>
      <c r="M46" s="16"/>
      <c r="N46" s="15"/>
      <c r="O46" t="s">
        <v>345</v>
      </c>
    </row>
    <row r="47" spans="2:15" x14ac:dyDescent="0.45">
      <c r="C47" t="s">
        <v>331</v>
      </c>
      <c r="D47" t="s">
        <v>98</v>
      </c>
      <c r="E47" s="18" t="s">
        <v>332</v>
      </c>
      <c r="F47" s="13" t="s">
        <v>333</v>
      </c>
      <c r="G47">
        <v>2</v>
      </c>
      <c r="I47" s="14">
        <v>9.5000000000000001E-2</v>
      </c>
      <c r="J47" s="14">
        <v>7.9166663520866098E-2</v>
      </c>
      <c r="K47" s="14">
        <f>I47*G47*IF(ISBLANK(H47), 1, H47)</f>
        <v>0.19</v>
      </c>
      <c r="L47" s="14">
        <f>K47/1.2</f>
        <v>0.15833333333333335</v>
      </c>
      <c r="M47" s="16"/>
      <c r="N47" s="15"/>
      <c r="O47" t="s">
        <v>346</v>
      </c>
    </row>
    <row r="48" spans="2:15" x14ac:dyDescent="0.45">
      <c r="C48" t="s">
        <v>285</v>
      </c>
      <c r="D48" t="s">
        <v>98</v>
      </c>
      <c r="E48" s="18" t="s">
        <v>286</v>
      </c>
      <c r="F48" s="13" t="s">
        <v>287</v>
      </c>
      <c r="G48">
        <v>2</v>
      </c>
      <c r="I48" s="14">
        <v>0.41799999999999998</v>
      </c>
      <c r="J48" s="14">
        <v>0.34833331949181079</v>
      </c>
      <c r="K48" s="14">
        <f t="shared" si="4"/>
        <v>0.83599999999999997</v>
      </c>
      <c r="L48" s="14">
        <f t="shared" si="5"/>
        <v>0.69666666666666666</v>
      </c>
      <c r="M48" s="16"/>
      <c r="N48" s="15"/>
      <c r="O48" t="s">
        <v>288</v>
      </c>
    </row>
    <row r="49" spans="2:15" x14ac:dyDescent="0.45">
      <c r="C49" t="s">
        <v>295</v>
      </c>
      <c r="D49" t="s">
        <v>98</v>
      </c>
      <c r="E49" s="18" t="s">
        <v>296</v>
      </c>
      <c r="F49" s="13" t="s">
        <v>297</v>
      </c>
      <c r="G49">
        <v>1</v>
      </c>
      <c r="I49" s="14">
        <v>9.5000000000000001E-2</v>
      </c>
      <c r="J49" s="14">
        <v>7.9166663520866098E-2</v>
      </c>
      <c r="K49" s="14">
        <f t="shared" si="4"/>
        <v>9.5000000000000001E-2</v>
      </c>
      <c r="L49" s="14">
        <f t="shared" si="5"/>
        <v>7.9166666666666677E-2</v>
      </c>
      <c r="M49" s="16"/>
      <c r="N49" s="15"/>
      <c r="O49" t="s">
        <v>289</v>
      </c>
    </row>
    <row r="50" spans="2:15" x14ac:dyDescent="0.45">
      <c r="B50" s="37"/>
      <c r="C50" t="s">
        <v>298</v>
      </c>
      <c r="D50" t="s">
        <v>98</v>
      </c>
      <c r="E50" s="18" t="s">
        <v>304</v>
      </c>
      <c r="F50" s="13" t="s">
        <v>303</v>
      </c>
      <c r="G50">
        <v>1</v>
      </c>
      <c r="I50" s="14">
        <v>0.105</v>
      </c>
      <c r="J50" s="14">
        <v>8.749999652306252E-2</v>
      </c>
      <c r="K50" s="14">
        <f t="shared" si="4"/>
        <v>0.105</v>
      </c>
      <c r="L50" s="14">
        <f t="shared" si="5"/>
        <v>8.7499999999999994E-2</v>
      </c>
      <c r="M50" s="16"/>
      <c r="N50" s="15"/>
      <c r="O50" t="s">
        <v>290</v>
      </c>
    </row>
    <row r="51" spans="2:15" x14ac:dyDescent="0.45">
      <c r="C51" t="s">
        <v>299</v>
      </c>
      <c r="D51" t="s">
        <v>98</v>
      </c>
      <c r="E51" s="18" t="s">
        <v>306</v>
      </c>
      <c r="F51" s="13" t="s">
        <v>305</v>
      </c>
      <c r="G51">
        <v>1</v>
      </c>
      <c r="I51" s="14">
        <v>9.5000000000000001E-2</v>
      </c>
      <c r="J51" s="14">
        <v>7.9166663520866098E-2</v>
      </c>
      <c r="K51" s="14">
        <f t="shared" si="4"/>
        <v>9.5000000000000001E-2</v>
      </c>
      <c r="L51" s="14">
        <f t="shared" si="5"/>
        <v>7.9166666666666677E-2</v>
      </c>
      <c r="M51" s="16"/>
      <c r="N51" s="15"/>
      <c r="O51" t="s">
        <v>291</v>
      </c>
    </row>
    <row r="52" spans="2:15" x14ac:dyDescent="0.45">
      <c r="C52" t="s">
        <v>300</v>
      </c>
      <c r="D52" t="s">
        <v>98</v>
      </c>
      <c r="E52" s="18" t="s">
        <v>308</v>
      </c>
      <c r="F52" s="13" t="s">
        <v>307</v>
      </c>
      <c r="G52">
        <v>2</v>
      </c>
      <c r="I52" s="14">
        <v>0.97899999999999998</v>
      </c>
      <c r="J52" s="14">
        <v>0.81583330091503059</v>
      </c>
      <c r="K52" s="14">
        <f t="shared" si="4"/>
        <v>1.958</v>
      </c>
      <c r="L52" s="14">
        <f t="shared" si="5"/>
        <v>1.6316666666666666</v>
      </c>
      <c r="M52" s="16"/>
      <c r="N52" s="15"/>
      <c r="O52" t="s">
        <v>292</v>
      </c>
    </row>
    <row r="53" spans="2:15" x14ac:dyDescent="0.45">
      <c r="C53" t="s">
        <v>302</v>
      </c>
      <c r="D53" t="s">
        <v>98</v>
      </c>
      <c r="E53" s="18" t="s">
        <v>309</v>
      </c>
      <c r="F53" s="13" t="s">
        <v>310</v>
      </c>
      <c r="G53">
        <v>1</v>
      </c>
      <c r="I53" s="14">
        <v>9.5000000000000001E-2</v>
      </c>
      <c r="J53" s="14">
        <v>7.9166663520866098E-2</v>
      </c>
      <c r="K53" s="14">
        <f t="shared" si="4"/>
        <v>9.5000000000000001E-2</v>
      </c>
      <c r="L53" s="14">
        <f t="shared" si="5"/>
        <v>7.9166666666666677E-2</v>
      </c>
      <c r="M53" s="16"/>
      <c r="N53" s="15"/>
      <c r="O53" t="s">
        <v>293</v>
      </c>
    </row>
    <row r="54" spans="2:15" x14ac:dyDescent="0.45">
      <c r="C54" t="s">
        <v>301</v>
      </c>
      <c r="D54" t="s">
        <v>98</v>
      </c>
      <c r="E54" s="18" t="s">
        <v>311</v>
      </c>
      <c r="F54" s="13" t="s">
        <v>312</v>
      </c>
      <c r="G54">
        <v>4</v>
      </c>
      <c r="I54" s="14">
        <v>9.5000000000000001E-2</v>
      </c>
      <c r="J54" s="14">
        <v>7.9166663520866098E-2</v>
      </c>
      <c r="K54" s="14">
        <f t="shared" si="4"/>
        <v>0.38</v>
      </c>
      <c r="L54" s="14">
        <f t="shared" si="5"/>
        <v>0.31666666666666671</v>
      </c>
      <c r="M54" s="16"/>
      <c r="N54" s="15"/>
      <c r="O54" t="s">
        <v>294</v>
      </c>
    </row>
    <row r="55" spans="2:15" x14ac:dyDescent="0.45">
      <c r="B55" s="25"/>
      <c r="C55" s="25"/>
      <c r="D55" s="25"/>
      <c r="E55" s="25"/>
      <c r="F55" s="25"/>
      <c r="G55" s="25"/>
      <c r="H55" s="25"/>
      <c r="I55" s="26"/>
      <c r="J55" s="26"/>
      <c r="K55" s="27">
        <f>SUBTOTAL(9, K4:K54)</f>
        <v>99.38239999999999</v>
      </c>
      <c r="L55" s="27">
        <f>SUBTOTAL(9, L4:L54)</f>
        <v>82.818666666666644</v>
      </c>
      <c r="M55" s="27"/>
      <c r="N55" s="28">
        <f>SUBTOTAL(9, N4:N54)</f>
        <v>0</v>
      </c>
      <c r="O55" s="29" t="s">
        <v>14</v>
      </c>
    </row>
    <row r="60" spans="2:15" ht="15" customHeight="1" x14ac:dyDescent="0.45">
      <c r="D60" s="11"/>
    </row>
    <row r="63" spans="2:15" x14ac:dyDescent="0.45">
      <c r="F63" s="7"/>
      <c r="I63" s="8"/>
      <c r="J63" s="8"/>
      <c r="K63" s="8"/>
      <c r="L63" s="8"/>
      <c r="M63" s="8"/>
      <c r="N63" s="8"/>
    </row>
    <row r="65" spans="6:8" x14ac:dyDescent="0.45">
      <c r="F65" s="7"/>
    </row>
    <row r="72" spans="6:8" x14ac:dyDescent="0.45">
      <c r="G72" s="9"/>
      <c r="H72" s="9"/>
    </row>
  </sheetData>
  <autoFilter ref="B3:O4" xr:uid="{00000000-0009-0000-0000-000000000000}"/>
  <hyperlinks>
    <hyperlink ref="F4" r:id="rId1" xr:uid="{F03E5B0E-8CD2-4184-86DF-362DC4DB478A}"/>
    <hyperlink ref="F5" r:id="rId2" xr:uid="{23A503CA-534D-423A-899C-BFFEEED823EE}"/>
    <hyperlink ref="F6" r:id="rId3" xr:uid="{2FA2AEC1-7B4B-4716-85D8-6AA49BAAB5CA}"/>
    <hyperlink ref="F7" r:id="rId4" xr:uid="{5FFC6FB4-3B7C-4A6E-8AE7-CA12C54F8F43}"/>
    <hyperlink ref="F8" r:id="rId5" xr:uid="{E3B524CE-C711-4C98-A681-8D31D91EE84F}"/>
    <hyperlink ref="F12" r:id="rId6" xr:uid="{E37E9238-1968-4568-8F07-09B4FD3D9524}"/>
    <hyperlink ref="F13" r:id="rId7" xr:uid="{D9970DFD-791A-4211-87D6-199818F69114}"/>
    <hyperlink ref="F14" r:id="rId8" xr:uid="{E29378FD-F880-49E9-A5DF-1129622D8839}"/>
    <hyperlink ref="F15" r:id="rId9" xr:uid="{25DF06ED-94F2-40D3-9BD4-7B2D02CF9F69}"/>
    <hyperlink ref="F17" r:id="rId10" xr:uid="{4B2166B5-D44D-4593-9ADF-2367380FDCA2}"/>
    <hyperlink ref="F16" r:id="rId11" xr:uid="{33EAB569-C52B-49E2-8E6B-C9F527B163BC}"/>
    <hyperlink ref="F18" r:id="rId12" xr:uid="{7C1388B6-FBF7-4AD6-BACA-4590CC2F314F}"/>
    <hyperlink ref="F19" r:id="rId13" xr:uid="{760D7C9D-C8F4-497F-B1D3-ADAE0D31CFF6}"/>
    <hyperlink ref="F20" r:id="rId14" xr:uid="{C2CF7DF7-EA29-4E10-A71E-48FC7BF863D1}"/>
    <hyperlink ref="F21" r:id="rId15" xr:uid="{0958A494-2D64-4161-B510-D43013270F0A}"/>
    <hyperlink ref="F23" r:id="rId16" xr:uid="{93B904AE-863F-45B2-A4B9-AA1EE92E0D2F}"/>
    <hyperlink ref="F24" r:id="rId17" xr:uid="{5A69E15A-8A51-4B79-9A5D-865BF4691BEA}"/>
    <hyperlink ref="F22" r:id="rId18" xr:uid="{7EFB58D2-B5A2-4950-932E-1F35EE43DAEE}"/>
    <hyperlink ref="F25" r:id="rId19" xr:uid="{5CBCE42D-8CD9-4A19-95FB-0ABDD73EA8BF}"/>
    <hyperlink ref="F26" r:id="rId20" xr:uid="{2EDECF25-7764-44FE-8BAF-7F799432E90D}"/>
    <hyperlink ref="F28" r:id="rId21" xr:uid="{08AF0C10-876D-45B4-84BA-E36159E6FCA9}"/>
    <hyperlink ref="F29" r:id="rId22" xr:uid="{1E96D23A-FC41-4911-A23B-AB9BFF017D98}"/>
    <hyperlink ref="F30" r:id="rId23" xr:uid="{53DE8000-C68B-4C9B-B7B7-17CE135AD2E7}"/>
    <hyperlink ref="F32" r:id="rId24" xr:uid="{22AB0D42-2965-4FF0-831B-5258B9AD5E2F}"/>
    <hyperlink ref="F34" r:id="rId25" xr:uid="{A9E02C94-FCEB-483F-B102-3BAF8F2F1623}"/>
    <hyperlink ref="F35" r:id="rId26" xr:uid="{2A900644-E3F6-44E8-BCE6-398C3A7E57F6}"/>
    <hyperlink ref="F38" r:id="rId27" xr:uid="{1BB1FBF2-1636-41D6-A40E-471A6810BCD6}"/>
    <hyperlink ref="F39" r:id="rId28" xr:uid="{F32410A4-963D-4FA9-B4C7-13F7DCCDD8E7}"/>
    <hyperlink ref="F48" r:id="rId29" xr:uid="{781E8B24-FF34-4D1A-8934-D1EE064CCD59}"/>
    <hyperlink ref="F49" r:id="rId30" xr:uid="{F96EFC9E-E63A-44CE-A7A5-B388C49E99DA}"/>
    <hyperlink ref="F50" r:id="rId31" xr:uid="{ADCA9265-8256-4D6C-9C82-F63F88AD97EC}"/>
    <hyperlink ref="F51" r:id="rId32" xr:uid="{01416C09-F4EC-4871-8B1F-0BB524B10342}"/>
    <hyperlink ref="F52" r:id="rId33" xr:uid="{B2BC05A3-FD8C-48EE-8860-6E5AADAA1B58}"/>
    <hyperlink ref="F53" r:id="rId34" xr:uid="{04185FB4-94E5-4A8C-A4EF-702D8C75F65A}"/>
    <hyperlink ref="F54" r:id="rId35" xr:uid="{885BDDC1-ACC7-4C4E-BB97-91A9C2AAFBB3}"/>
    <hyperlink ref="F41" r:id="rId36" xr:uid="{9536FC39-CF9E-4977-9996-AF03F60F584C}"/>
    <hyperlink ref="F42" r:id="rId37" xr:uid="{5A9FD584-7502-4955-9595-9B27F272C632}"/>
    <hyperlink ref="F43" r:id="rId38" xr:uid="{F3273299-C5DE-4477-B40A-0B548DD7F44A}"/>
    <hyperlink ref="F44" r:id="rId39" xr:uid="{81A4E355-9895-4290-B4C0-C91301055161}"/>
    <hyperlink ref="F45" r:id="rId40" xr:uid="{B8502B9B-0E47-434B-963F-900D95C349DF}"/>
    <hyperlink ref="F46" r:id="rId41" xr:uid="{D9DBF7F0-B8D4-40A0-A724-3D21B2935ED8}"/>
    <hyperlink ref="F47" r:id="rId42" xr:uid="{29CF5003-22FC-46D7-9D15-3F86A067EC3A}"/>
    <hyperlink ref="F36" r:id="rId43" xr:uid="{53D5CEBA-9105-4939-94AE-070B538F5A86}"/>
    <hyperlink ref="F33" r:id="rId44" display="https://www.mouser.at/ProductDetail/SparkFun/COM-15809?qs=wnTfsH77Xs4W6lzhkB8rzg%3D%3D" xr:uid="{BA0CD7FD-41C6-4F9B-A6E1-8E5C1A6165B6}"/>
  </hyperlinks>
  <pageMargins left="0.7" right="0.7" top="0.78740157499999996" bottom="0.78740157499999996" header="0.3" footer="0.3"/>
  <pageSetup paperSize="9" orientation="portrait" r:id="rId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G47"/>
  <sheetViews>
    <sheetView workbookViewId="0">
      <selection activeCell="C43" sqref="C43"/>
    </sheetView>
  </sheetViews>
  <sheetFormatPr baseColWidth="10" defaultColWidth="11.3984375" defaultRowHeight="14.25" x14ac:dyDescent="0.45"/>
  <cols>
    <col min="2" max="2" width="26.73046875" bestFit="1" customWidth="1"/>
    <col min="3" max="3" width="44.86328125" bestFit="1" customWidth="1"/>
    <col min="4" max="4" width="22" style="20" bestFit="1" customWidth="1"/>
    <col min="5" max="5" width="55.73046875" bestFit="1" customWidth="1"/>
    <col min="6" max="6" width="11.86328125" bestFit="1" customWidth="1"/>
    <col min="7" max="7" width="71.86328125" bestFit="1" customWidth="1"/>
  </cols>
  <sheetData>
    <row r="1" spans="2:7" x14ac:dyDescent="0.45">
      <c r="D1"/>
    </row>
    <row r="2" spans="2:7" x14ac:dyDescent="0.45">
      <c r="D2"/>
    </row>
    <row r="3" spans="2:7" x14ac:dyDescent="0.45">
      <c r="B3" s="1" t="s">
        <v>2</v>
      </c>
      <c r="C3" s="1" t="s">
        <v>15</v>
      </c>
      <c r="D3" s="1" t="s">
        <v>16</v>
      </c>
      <c r="E3" s="1" t="s">
        <v>4</v>
      </c>
      <c r="F3" s="1" t="s">
        <v>17</v>
      </c>
      <c r="G3" s="1" t="s">
        <v>13</v>
      </c>
    </row>
    <row r="4" spans="2:7" x14ac:dyDescent="0.45">
      <c r="B4" t="s">
        <v>18</v>
      </c>
      <c r="C4" t="s">
        <v>19</v>
      </c>
      <c r="D4" s="20" t="s">
        <v>20</v>
      </c>
      <c r="E4" s="19" t="s">
        <v>21</v>
      </c>
      <c r="F4" t="s">
        <v>22</v>
      </c>
      <c r="G4" t="s">
        <v>23</v>
      </c>
    </row>
    <row r="5" spans="2:7" x14ac:dyDescent="0.45">
      <c r="B5" t="s">
        <v>24</v>
      </c>
      <c r="C5" t="s">
        <v>25</v>
      </c>
      <c r="D5" s="20" t="s">
        <v>26</v>
      </c>
      <c r="E5" s="19" t="s">
        <v>27</v>
      </c>
      <c r="F5" t="s">
        <v>25</v>
      </c>
      <c r="G5" t="s">
        <v>28</v>
      </c>
    </row>
    <row r="6" spans="2:7" x14ac:dyDescent="0.45">
      <c r="B6" t="s">
        <v>29</v>
      </c>
      <c r="C6" t="s">
        <v>30</v>
      </c>
      <c r="D6" s="20" t="s">
        <v>26</v>
      </c>
      <c r="E6" s="19" t="s">
        <v>31</v>
      </c>
      <c r="F6" t="s">
        <v>22</v>
      </c>
      <c r="G6" t="s">
        <v>32</v>
      </c>
    </row>
    <row r="7" spans="2:7" x14ac:dyDescent="0.45">
      <c r="B7" t="s">
        <v>33</v>
      </c>
      <c r="C7" t="s">
        <v>34</v>
      </c>
      <c r="D7" s="20" t="s">
        <v>20</v>
      </c>
      <c r="E7" s="19" t="s">
        <v>35</v>
      </c>
      <c r="F7" t="s">
        <v>22</v>
      </c>
    </row>
    <row r="8" spans="2:7" x14ac:dyDescent="0.45">
      <c r="B8" t="s">
        <v>36</v>
      </c>
      <c r="C8" t="s">
        <v>37</v>
      </c>
      <c r="D8" s="20" t="s">
        <v>26</v>
      </c>
      <c r="E8" s="19" t="s">
        <v>38</v>
      </c>
      <c r="F8" t="s">
        <v>39</v>
      </c>
    </row>
    <row r="9" spans="2:7" x14ac:dyDescent="0.45">
      <c r="B9" t="s">
        <v>40</v>
      </c>
      <c r="C9" t="s">
        <v>41</v>
      </c>
      <c r="D9" s="20" t="s">
        <v>26</v>
      </c>
      <c r="E9" s="19" t="s">
        <v>42</v>
      </c>
      <c r="F9" t="s">
        <v>22</v>
      </c>
    </row>
    <row r="10" spans="2:7" x14ac:dyDescent="0.45">
      <c r="B10" t="s">
        <v>43</v>
      </c>
      <c r="C10" t="s">
        <v>37</v>
      </c>
      <c r="D10" s="20" t="s">
        <v>26</v>
      </c>
      <c r="E10" s="19" t="s">
        <v>44</v>
      </c>
      <c r="F10" t="s">
        <v>39</v>
      </c>
    </row>
    <row r="11" spans="2:7" x14ac:dyDescent="0.45">
      <c r="B11" t="s">
        <v>45</v>
      </c>
      <c r="C11" t="s">
        <v>37</v>
      </c>
      <c r="D11" s="20" t="s">
        <v>26</v>
      </c>
      <c r="E11" s="19" t="s">
        <v>46</v>
      </c>
      <c r="F11" t="s">
        <v>39</v>
      </c>
    </row>
    <row r="12" spans="2:7" x14ac:dyDescent="0.45">
      <c r="B12" t="s">
        <v>47</v>
      </c>
      <c r="C12" t="s">
        <v>48</v>
      </c>
      <c r="D12" s="20" t="s">
        <v>20</v>
      </c>
      <c r="E12" s="19" t="s">
        <v>49</v>
      </c>
      <c r="F12" t="s">
        <v>25</v>
      </c>
    </row>
    <row r="13" spans="2:7" x14ac:dyDescent="0.45">
      <c r="B13" t="s">
        <v>50</v>
      </c>
      <c r="C13" t="s">
        <v>37</v>
      </c>
      <c r="D13" s="20" t="s">
        <v>20</v>
      </c>
      <c r="E13" s="19" t="s">
        <v>51</v>
      </c>
      <c r="F13" t="s">
        <v>39</v>
      </c>
    </row>
    <row r="14" spans="2:7" x14ac:dyDescent="0.45">
      <c r="B14" t="s">
        <v>52</v>
      </c>
      <c r="C14" t="s">
        <v>53</v>
      </c>
      <c r="D14" s="20" t="s">
        <v>26</v>
      </c>
      <c r="E14" s="19" t="s">
        <v>54</v>
      </c>
      <c r="F14" t="s">
        <v>22</v>
      </c>
    </row>
    <row r="15" spans="2:7" x14ac:dyDescent="0.45">
      <c r="B15" t="s">
        <v>55</v>
      </c>
      <c r="C15" t="s">
        <v>37</v>
      </c>
      <c r="D15" s="20" t="s">
        <v>20</v>
      </c>
      <c r="E15" s="19" t="s">
        <v>56</v>
      </c>
      <c r="F15" t="s">
        <v>39</v>
      </c>
    </row>
    <row r="16" spans="2:7" x14ac:dyDescent="0.45">
      <c r="B16" t="s">
        <v>57</v>
      </c>
      <c r="C16" t="s">
        <v>58</v>
      </c>
      <c r="D16" s="20" t="s">
        <v>26</v>
      </c>
      <c r="E16" s="19" t="s">
        <v>59</v>
      </c>
      <c r="F16" t="s">
        <v>39</v>
      </c>
    </row>
    <row r="17" spans="2:7" x14ac:dyDescent="0.45">
      <c r="B17" t="s">
        <v>60</v>
      </c>
      <c r="C17" t="s">
        <v>61</v>
      </c>
      <c r="D17" s="20" t="s">
        <v>20</v>
      </c>
      <c r="E17" s="19" t="s">
        <v>62</v>
      </c>
      <c r="F17" t="s">
        <v>22</v>
      </c>
    </row>
    <row r="18" spans="2:7" x14ac:dyDescent="0.45">
      <c r="B18" t="s">
        <v>63</v>
      </c>
      <c r="C18" t="s">
        <v>64</v>
      </c>
      <c r="D18" s="20" t="s">
        <v>26</v>
      </c>
      <c r="E18" s="19" t="s">
        <v>65</v>
      </c>
      <c r="F18" t="s">
        <v>22</v>
      </c>
    </row>
    <row r="19" spans="2:7" x14ac:dyDescent="0.45">
      <c r="B19" t="s">
        <v>66</v>
      </c>
      <c r="C19" t="s">
        <v>67</v>
      </c>
      <c r="D19" s="20" t="s">
        <v>20</v>
      </c>
      <c r="E19" s="19" t="s">
        <v>68</v>
      </c>
      <c r="F19" t="s">
        <v>22</v>
      </c>
      <c r="G19" t="s">
        <v>69</v>
      </c>
    </row>
    <row r="20" spans="2:7" x14ac:dyDescent="0.45">
      <c r="B20" t="s">
        <v>70</v>
      </c>
      <c r="C20" t="s">
        <v>64</v>
      </c>
      <c r="D20" s="20" t="s">
        <v>20</v>
      </c>
      <c r="E20" s="19" t="s">
        <v>71</v>
      </c>
      <c r="F20" t="s">
        <v>22</v>
      </c>
      <c r="G20" t="s">
        <v>72</v>
      </c>
    </row>
    <row r="21" spans="2:7" x14ac:dyDescent="0.45">
      <c r="B21" t="s">
        <v>73</v>
      </c>
      <c r="C21" t="s">
        <v>74</v>
      </c>
      <c r="D21" s="20" t="s">
        <v>26</v>
      </c>
      <c r="E21" s="19" t="s">
        <v>75</v>
      </c>
      <c r="F21" t="s">
        <v>22</v>
      </c>
      <c r="G21" t="s">
        <v>76</v>
      </c>
    </row>
    <row r="22" spans="2:7" x14ac:dyDescent="0.45">
      <c r="B22" t="s">
        <v>77</v>
      </c>
      <c r="C22" t="s">
        <v>41</v>
      </c>
      <c r="D22" s="20" t="s">
        <v>26</v>
      </c>
      <c r="E22" s="19" t="s">
        <v>78</v>
      </c>
      <c r="F22" t="s">
        <v>22</v>
      </c>
    </row>
    <row r="23" spans="2:7" x14ac:dyDescent="0.45">
      <c r="B23" t="s">
        <v>79</v>
      </c>
      <c r="C23" t="s">
        <v>64</v>
      </c>
      <c r="D23" s="20" t="s">
        <v>20</v>
      </c>
      <c r="E23" s="19" t="s">
        <v>80</v>
      </c>
      <c r="F23" t="s">
        <v>22</v>
      </c>
    </row>
    <row r="24" spans="2:7" x14ac:dyDescent="0.45">
      <c r="B24" t="s">
        <v>81</v>
      </c>
      <c r="C24" t="s">
        <v>82</v>
      </c>
      <c r="D24" s="20" t="s">
        <v>20</v>
      </c>
      <c r="E24" s="19" t="s">
        <v>83</v>
      </c>
      <c r="F24" t="s">
        <v>22</v>
      </c>
    </row>
    <row r="25" spans="2:7" x14ac:dyDescent="0.45">
      <c r="B25" t="s">
        <v>84</v>
      </c>
      <c r="C25" t="s">
        <v>85</v>
      </c>
      <c r="D25" s="20" t="s">
        <v>26</v>
      </c>
      <c r="E25" s="19" t="s">
        <v>86</v>
      </c>
      <c r="F25" t="s">
        <v>22</v>
      </c>
      <c r="G25" t="s">
        <v>87</v>
      </c>
    </row>
    <row r="26" spans="2:7" x14ac:dyDescent="0.45">
      <c r="B26" t="s">
        <v>88</v>
      </c>
      <c r="C26" t="s">
        <v>89</v>
      </c>
      <c r="D26" s="20" t="s">
        <v>20</v>
      </c>
      <c r="E26" s="19" t="s">
        <v>90</v>
      </c>
      <c r="F26" t="s">
        <v>22</v>
      </c>
    </row>
    <row r="27" spans="2:7" x14ac:dyDescent="0.45">
      <c r="B27" t="s">
        <v>91</v>
      </c>
      <c r="C27" t="s">
        <v>92</v>
      </c>
      <c r="D27" s="20" t="s">
        <v>20</v>
      </c>
      <c r="E27" s="19" t="s">
        <v>93</v>
      </c>
      <c r="F27" t="s">
        <v>22</v>
      </c>
    </row>
    <row r="28" spans="2:7" x14ac:dyDescent="0.45">
      <c r="B28" t="s">
        <v>94</v>
      </c>
      <c r="C28" t="s">
        <v>41</v>
      </c>
      <c r="D28" s="20" t="s">
        <v>20</v>
      </c>
      <c r="E28" s="19" t="s">
        <v>95</v>
      </c>
      <c r="F28" t="s">
        <v>22</v>
      </c>
      <c r="G28" t="s">
        <v>76</v>
      </c>
    </row>
    <row r="29" spans="2:7" x14ac:dyDescent="0.45">
      <c r="B29" t="s">
        <v>96</v>
      </c>
      <c r="C29" t="s">
        <v>53</v>
      </c>
      <c r="D29" s="20" t="s">
        <v>26</v>
      </c>
      <c r="E29" s="19" t="s">
        <v>97</v>
      </c>
      <c r="F29" t="s">
        <v>22</v>
      </c>
    </row>
    <row r="30" spans="2:7" x14ac:dyDescent="0.45">
      <c r="B30" t="s">
        <v>98</v>
      </c>
      <c r="C30" t="s">
        <v>37</v>
      </c>
      <c r="D30" s="20" t="s">
        <v>26</v>
      </c>
      <c r="E30" s="19" t="s">
        <v>99</v>
      </c>
      <c r="F30" t="s">
        <v>39</v>
      </c>
    </row>
    <row r="31" spans="2:7" x14ac:dyDescent="0.45">
      <c r="B31" t="s">
        <v>100</v>
      </c>
      <c r="C31" t="s">
        <v>53</v>
      </c>
      <c r="D31" s="20" t="s">
        <v>20</v>
      </c>
      <c r="E31" s="19" t="s">
        <v>101</v>
      </c>
      <c r="F31" t="s">
        <v>22</v>
      </c>
    </row>
    <row r="32" spans="2:7" x14ac:dyDescent="0.45">
      <c r="B32" t="s">
        <v>102</v>
      </c>
      <c r="C32" t="s">
        <v>30</v>
      </c>
      <c r="D32" s="20" t="s">
        <v>26</v>
      </c>
      <c r="E32" s="19" t="s">
        <v>103</v>
      </c>
      <c r="F32" t="s">
        <v>22</v>
      </c>
      <c r="G32" t="s">
        <v>32</v>
      </c>
    </row>
    <row r="33" spans="2:7" x14ac:dyDescent="0.45">
      <c r="B33" t="s">
        <v>104</v>
      </c>
      <c r="C33" t="s">
        <v>85</v>
      </c>
      <c r="D33" s="20" t="s">
        <v>20</v>
      </c>
      <c r="E33" s="19" t="s">
        <v>105</v>
      </c>
      <c r="F33" t="s">
        <v>22</v>
      </c>
    </row>
    <row r="34" spans="2:7" x14ac:dyDescent="0.45">
      <c r="B34" t="s">
        <v>106</v>
      </c>
      <c r="C34" t="s">
        <v>61</v>
      </c>
      <c r="D34" s="20" t="s">
        <v>20</v>
      </c>
      <c r="E34" s="19" t="s">
        <v>107</v>
      </c>
      <c r="F34" t="s">
        <v>22</v>
      </c>
    </row>
    <row r="35" spans="2:7" x14ac:dyDescent="0.45">
      <c r="B35" t="s">
        <v>108</v>
      </c>
      <c r="C35" t="s">
        <v>67</v>
      </c>
      <c r="D35" s="20" t="s">
        <v>20</v>
      </c>
      <c r="E35" s="19" t="s">
        <v>109</v>
      </c>
      <c r="F35" t="s">
        <v>22</v>
      </c>
      <c r="G35" t="s">
        <v>110</v>
      </c>
    </row>
    <row r="36" spans="2:7" x14ac:dyDescent="0.45">
      <c r="B36" t="s">
        <v>111</v>
      </c>
      <c r="C36" t="s">
        <v>82</v>
      </c>
      <c r="D36" s="20" t="s">
        <v>20</v>
      </c>
      <c r="E36" s="19" t="s">
        <v>112</v>
      </c>
      <c r="F36" t="s">
        <v>22</v>
      </c>
    </row>
    <row r="37" spans="2:7" x14ac:dyDescent="0.45">
      <c r="B37" t="s">
        <v>113</v>
      </c>
      <c r="C37" t="s">
        <v>37</v>
      </c>
      <c r="D37" s="20" t="s">
        <v>26</v>
      </c>
      <c r="E37" s="19" t="s">
        <v>114</v>
      </c>
      <c r="F37" t="s">
        <v>39</v>
      </c>
    </row>
    <row r="38" spans="2:7" x14ac:dyDescent="0.45">
      <c r="B38" t="s">
        <v>115</v>
      </c>
      <c r="C38" t="s">
        <v>37</v>
      </c>
      <c r="D38" s="20" t="s">
        <v>26</v>
      </c>
      <c r="E38" s="19" t="s">
        <v>116</v>
      </c>
      <c r="F38" t="s">
        <v>39</v>
      </c>
    </row>
    <row r="39" spans="2:7" x14ac:dyDescent="0.45">
      <c r="B39" t="s">
        <v>117</v>
      </c>
      <c r="C39" t="s">
        <v>118</v>
      </c>
      <c r="D39" s="20" t="s">
        <v>26</v>
      </c>
      <c r="E39" s="19" t="s">
        <v>119</v>
      </c>
      <c r="F39" t="s">
        <v>25</v>
      </c>
      <c r="G39" t="s">
        <v>120</v>
      </c>
    </row>
    <row r="40" spans="2:7" x14ac:dyDescent="0.45">
      <c r="B40" t="s">
        <v>121</v>
      </c>
      <c r="C40" t="s">
        <v>122</v>
      </c>
      <c r="D40" s="20" t="s">
        <v>20</v>
      </c>
      <c r="E40" s="19" t="s">
        <v>123</v>
      </c>
      <c r="F40" t="s">
        <v>22</v>
      </c>
    </row>
    <row r="41" spans="2:7" x14ac:dyDescent="0.45">
      <c r="B41" t="s">
        <v>124</v>
      </c>
      <c r="C41" t="s">
        <v>19</v>
      </c>
      <c r="D41" s="20" t="s">
        <v>20</v>
      </c>
      <c r="E41" s="19" t="s">
        <v>125</v>
      </c>
      <c r="F41" t="s">
        <v>22</v>
      </c>
      <c r="G41" t="s">
        <v>126</v>
      </c>
    </row>
    <row r="42" spans="2:7" x14ac:dyDescent="0.45">
      <c r="B42" t="s">
        <v>127</v>
      </c>
      <c r="C42" t="s">
        <v>128</v>
      </c>
      <c r="D42" s="20" t="s">
        <v>20</v>
      </c>
      <c r="E42" s="19" t="s">
        <v>129</v>
      </c>
      <c r="F42" t="s">
        <v>22</v>
      </c>
    </row>
    <row r="43" spans="2:7" x14ac:dyDescent="0.45">
      <c r="B43" t="s">
        <v>130</v>
      </c>
      <c r="C43" t="s">
        <v>131</v>
      </c>
      <c r="D43" s="20" t="s">
        <v>20</v>
      </c>
      <c r="E43" s="19" t="s">
        <v>132</v>
      </c>
      <c r="F43" t="s">
        <v>22</v>
      </c>
    </row>
    <row r="44" spans="2:7" x14ac:dyDescent="0.45">
      <c r="B44" t="s">
        <v>133</v>
      </c>
      <c r="C44" t="s">
        <v>134</v>
      </c>
      <c r="D44" s="20" t="s">
        <v>20</v>
      </c>
      <c r="E44" s="19" t="s">
        <v>135</v>
      </c>
      <c r="F44" t="s">
        <v>22</v>
      </c>
    </row>
    <row r="45" spans="2:7" x14ac:dyDescent="0.45">
      <c r="B45" t="s">
        <v>136</v>
      </c>
      <c r="C45" t="s">
        <v>53</v>
      </c>
      <c r="D45" s="20" t="s">
        <v>20</v>
      </c>
      <c r="E45" s="19" t="s">
        <v>137</v>
      </c>
      <c r="F45" t="s">
        <v>22</v>
      </c>
      <c r="G45" t="s">
        <v>138</v>
      </c>
    </row>
    <row r="46" spans="2:7" x14ac:dyDescent="0.45">
      <c r="B46" t="s">
        <v>139</v>
      </c>
      <c r="C46" t="s">
        <v>140</v>
      </c>
      <c r="D46" s="20" t="s">
        <v>20</v>
      </c>
      <c r="E46" s="19" t="s">
        <v>141</v>
      </c>
      <c r="F46" t="s">
        <v>22</v>
      </c>
      <c r="G46" t="s">
        <v>142</v>
      </c>
    </row>
    <row r="47" spans="2:7" x14ac:dyDescent="0.45">
      <c r="B47" t="s">
        <v>143</v>
      </c>
      <c r="C47" t="s">
        <v>144</v>
      </c>
      <c r="D47" s="20" t="s">
        <v>26</v>
      </c>
      <c r="E47" s="19" t="s">
        <v>145</v>
      </c>
      <c r="F47" t="s">
        <v>22</v>
      </c>
      <c r="G47" t="s">
        <v>146</v>
      </c>
    </row>
  </sheetData>
  <autoFilter ref="B3:G47" xr:uid="{00000000-0009-0000-0000-000001000000}">
    <sortState xmlns:xlrd2="http://schemas.microsoft.com/office/spreadsheetml/2017/richdata2" ref="B4:G47">
      <sortCondition ref="B3:B47"/>
    </sortState>
  </autoFilter>
  <hyperlinks>
    <hyperlink ref="E9" r:id="rId1" xr:uid="{00000000-0004-0000-0100-000000000000}"/>
    <hyperlink ref="E18" r:id="rId2" xr:uid="{00000000-0004-0000-0100-000001000000}"/>
    <hyperlink ref="E30" r:id="rId3" xr:uid="{00000000-0004-0000-0100-000002000000}"/>
    <hyperlink ref="E21" r:id="rId4" xr:uid="{00000000-0004-0000-0100-000003000000}"/>
    <hyperlink ref="E14" r:id="rId5" xr:uid="{00000000-0004-0000-0100-000004000000}"/>
    <hyperlink ref="E41" r:id="rId6" xr:uid="{00000000-0004-0000-0100-000005000000}"/>
    <hyperlink ref="E4" r:id="rId7" xr:uid="{00000000-0004-0000-0100-000006000000}"/>
    <hyperlink ref="E16" r:id="rId8" xr:uid="{00000000-0004-0000-0100-000007000000}"/>
    <hyperlink ref="E25" r:id="rId9" xr:uid="{00000000-0004-0000-0100-000008000000}"/>
    <hyperlink ref="E31" r:id="rId10" xr:uid="{00000000-0004-0000-0100-000009000000}"/>
    <hyperlink ref="E5" r:id="rId11" xr:uid="{00000000-0004-0000-0100-00000A000000}"/>
    <hyperlink ref="E29" r:id="rId12" xr:uid="{00000000-0004-0000-0100-00000B000000}"/>
    <hyperlink ref="E10" r:id="rId13" xr:uid="{00000000-0004-0000-0100-00000C000000}"/>
    <hyperlink ref="E37" r:id="rId14" xr:uid="{00000000-0004-0000-0100-00000D000000}"/>
    <hyperlink ref="E8" r:id="rId15" xr:uid="{00000000-0004-0000-0100-00000E000000}"/>
    <hyperlink ref="E39" r:id="rId16" xr:uid="{00000000-0004-0000-0100-00000F000000}"/>
    <hyperlink ref="E22" r:id="rId17" xr:uid="{00000000-0004-0000-0100-000010000000}"/>
    <hyperlink ref="E28" r:id="rId18" xr:uid="{00000000-0004-0000-0100-000011000000}"/>
    <hyperlink ref="E20" r:id="rId19" xr:uid="{00000000-0004-0000-0100-000012000000}"/>
    <hyperlink ref="E34" r:id="rId20" xr:uid="{00000000-0004-0000-0100-000013000000}"/>
    <hyperlink ref="E17" r:id="rId21" xr:uid="{00000000-0004-0000-0100-000014000000}"/>
    <hyperlink ref="E27" r:id="rId22" xr:uid="{00000000-0004-0000-0100-000015000000}"/>
    <hyperlink ref="E23" r:id="rId23" xr:uid="{00000000-0004-0000-0100-000016000000}"/>
    <hyperlink ref="E24" r:id="rId24" xr:uid="{00000000-0004-0000-0100-000017000000}"/>
    <hyperlink ref="E36" r:id="rId25" xr:uid="{00000000-0004-0000-0100-000018000000}"/>
    <hyperlink ref="E43" r:id="rId26" xr:uid="{00000000-0004-0000-0100-000019000000}"/>
    <hyperlink ref="E47" r:id="rId27" xr:uid="{00000000-0004-0000-0100-00001A000000}"/>
    <hyperlink ref="E42" r:id="rId28" xr:uid="{00000000-0004-0000-0100-00001B000000}"/>
    <hyperlink ref="E26" r:id="rId29" xr:uid="{00000000-0004-0000-0100-00001C000000}"/>
    <hyperlink ref="E38" r:id="rId30" xr:uid="{00000000-0004-0000-0100-00001D000000}"/>
    <hyperlink ref="E45" r:id="rId31" xr:uid="{00000000-0004-0000-0100-00001E000000}"/>
    <hyperlink ref="E40" r:id="rId32" xr:uid="{00000000-0004-0000-0100-00001F000000}"/>
    <hyperlink ref="E19" r:id="rId33" xr:uid="{00000000-0004-0000-0100-000020000000}"/>
    <hyperlink ref="E35" r:id="rId34" xr:uid="{00000000-0004-0000-0100-000021000000}"/>
    <hyperlink ref="E13" r:id="rId35" xr:uid="{00000000-0004-0000-0100-000022000000}"/>
    <hyperlink ref="E15" r:id="rId36" xr:uid="{00000000-0004-0000-0100-000023000000}"/>
    <hyperlink ref="E11" r:id="rId37" xr:uid="{00000000-0004-0000-0100-000024000000}"/>
    <hyperlink ref="E12" r:id="rId38" xr:uid="{00000000-0004-0000-0100-000025000000}"/>
    <hyperlink ref="E7" r:id="rId39" xr:uid="{00000000-0004-0000-0100-000026000000}"/>
    <hyperlink ref="E46" r:id="rId40" xr:uid="{00000000-0004-0000-0100-000027000000}"/>
    <hyperlink ref="E44" r:id="rId41" xr:uid="{00000000-0004-0000-0100-000028000000}"/>
    <hyperlink ref="E32" r:id="rId42" xr:uid="{00000000-0004-0000-0100-000029000000}"/>
    <hyperlink ref="E6" r:id="rId43" xr:uid="{00000000-0004-0000-0100-00002A000000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O27"/>
  <sheetViews>
    <sheetView workbookViewId="0">
      <selection activeCell="H32" sqref="H32"/>
    </sheetView>
  </sheetViews>
  <sheetFormatPr baseColWidth="10" defaultColWidth="11.3984375" defaultRowHeight="14.25" x14ac:dyDescent="0.45"/>
  <cols>
    <col min="2" max="2" width="7.73046875" bestFit="1" customWidth="1"/>
    <col min="3" max="3" width="28.265625" customWidth="1"/>
    <col min="4" max="4" width="13" customWidth="1"/>
    <col min="5" max="5" width="17" customWidth="1"/>
    <col min="6" max="6" width="28" customWidth="1"/>
    <col min="7" max="7" width="9.265625" bestFit="1" customWidth="1"/>
    <col min="8" max="8" width="12.73046875" customWidth="1"/>
    <col min="9" max="9" width="15" bestFit="1" customWidth="1"/>
    <col min="10" max="10" width="14.59765625" bestFit="1" customWidth="1"/>
    <col min="11" max="11" width="12.86328125" bestFit="1" customWidth="1"/>
    <col min="12" max="12" width="12.3984375" bestFit="1" customWidth="1"/>
    <col min="13" max="13" width="8.59765625" customWidth="1"/>
    <col min="14" max="14" width="13.59765625" bestFit="1" customWidth="1"/>
    <col min="15" max="15" width="63.265625" bestFit="1" customWidth="1"/>
  </cols>
  <sheetData>
    <row r="2" spans="2:15" x14ac:dyDescent="0.45">
      <c r="G2" s="10"/>
      <c r="H2" s="10"/>
    </row>
    <row r="3" spans="2:15" x14ac:dyDescent="0.4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45">
      <c r="B4" t="s">
        <v>147</v>
      </c>
      <c r="C4" t="s">
        <v>148</v>
      </c>
      <c r="D4" t="s">
        <v>36</v>
      </c>
      <c r="E4" s="18" t="s">
        <v>149</v>
      </c>
      <c r="F4" s="13" t="s">
        <v>150</v>
      </c>
      <c r="G4">
        <v>2</v>
      </c>
      <c r="I4" s="14">
        <v>23.988000953197478</v>
      </c>
      <c r="J4" s="14">
        <v>19.989999999999998</v>
      </c>
      <c r="K4" s="14">
        <f t="shared" ref="K4:K8" si="0">I4*G4*IF(ISBLANK(H4), 1, H4)</f>
        <v>47.976001906394956</v>
      </c>
      <c r="L4" s="14">
        <f t="shared" ref="L4:L8" si="1">K4/1.2</f>
        <v>39.980001588662468</v>
      </c>
      <c r="M4" s="16"/>
      <c r="N4" s="15"/>
    </row>
    <row r="5" spans="2:15" x14ac:dyDescent="0.45">
      <c r="B5" t="s">
        <v>147</v>
      </c>
      <c r="C5" t="s">
        <v>151</v>
      </c>
      <c r="D5" t="s">
        <v>36</v>
      </c>
      <c r="E5" s="18" t="s">
        <v>152</v>
      </c>
      <c r="F5" s="13" t="s">
        <v>153</v>
      </c>
      <c r="G5">
        <v>1</v>
      </c>
      <c r="I5" s="14">
        <v>4.4880001783370975</v>
      </c>
      <c r="J5" s="14">
        <v>3.74</v>
      </c>
      <c r="K5" s="14">
        <f t="shared" si="0"/>
        <v>4.4880001783370975</v>
      </c>
      <c r="L5" s="14">
        <f t="shared" si="1"/>
        <v>3.7400001486142482</v>
      </c>
      <c r="M5" s="16"/>
      <c r="N5" s="15"/>
    </row>
    <row r="6" spans="2:15" x14ac:dyDescent="0.45">
      <c r="B6" t="s">
        <v>154</v>
      </c>
      <c r="C6" t="s">
        <v>155</v>
      </c>
      <c r="D6" t="s">
        <v>73</v>
      </c>
      <c r="E6" t="s">
        <v>156</v>
      </c>
      <c r="F6" s="13" t="s">
        <v>157</v>
      </c>
      <c r="G6">
        <v>2</v>
      </c>
      <c r="H6">
        <v>1.75</v>
      </c>
      <c r="I6" s="14">
        <v>58.89600234031677</v>
      </c>
      <c r="J6" s="14">
        <v>49.08</v>
      </c>
      <c r="K6" s="14">
        <f t="shared" si="0"/>
        <v>206.13600819110869</v>
      </c>
      <c r="L6" s="14">
        <f t="shared" si="1"/>
        <v>171.78000682592392</v>
      </c>
      <c r="M6" s="16">
        <v>4.53</v>
      </c>
      <c r="N6" s="15">
        <f>M6*H6*G6</f>
        <v>15.855</v>
      </c>
    </row>
    <row r="7" spans="2:15" x14ac:dyDescent="0.45">
      <c r="B7" t="s">
        <v>154</v>
      </c>
      <c r="C7" t="s">
        <v>155</v>
      </c>
      <c r="D7" t="s">
        <v>73</v>
      </c>
      <c r="E7" t="s">
        <v>156</v>
      </c>
      <c r="F7" s="13" t="s">
        <v>157</v>
      </c>
      <c r="G7">
        <v>3</v>
      </c>
      <c r="H7">
        <v>0.8</v>
      </c>
      <c r="I7" s="14">
        <v>58.89600234031677</v>
      </c>
      <c r="J7" s="14">
        <v>49.08</v>
      </c>
      <c r="K7" s="14">
        <f t="shared" si="0"/>
        <v>141.35040561676024</v>
      </c>
      <c r="L7" s="14">
        <f t="shared" si="1"/>
        <v>117.79200468063354</v>
      </c>
      <c r="M7" s="16">
        <v>4.53</v>
      </c>
      <c r="N7" s="15">
        <f>M7*H7*G7</f>
        <v>10.872000000000002</v>
      </c>
    </row>
    <row r="8" spans="2:15" x14ac:dyDescent="0.45">
      <c r="B8" t="s">
        <v>158</v>
      </c>
      <c r="C8" t="s">
        <v>159</v>
      </c>
      <c r="D8" t="s">
        <v>98</v>
      </c>
      <c r="E8" s="18" t="s">
        <v>160</v>
      </c>
      <c r="F8" s="13" t="s">
        <v>161</v>
      </c>
      <c r="G8">
        <v>50</v>
      </c>
      <c r="I8" s="14">
        <v>5.6000000000000001E-2</v>
      </c>
      <c r="J8" s="14">
        <v>4.6666664812300016E-2</v>
      </c>
      <c r="K8" s="14">
        <f t="shared" si="0"/>
        <v>2.8000000000000003</v>
      </c>
      <c r="L8" s="14">
        <f t="shared" si="1"/>
        <v>2.3333333333333335</v>
      </c>
      <c r="M8" s="16"/>
      <c r="N8" s="15"/>
      <c r="O8" t="s">
        <v>162</v>
      </c>
    </row>
    <row r="9" spans="2:15" x14ac:dyDescent="0.45">
      <c r="B9" s="2"/>
      <c r="C9" s="2"/>
      <c r="D9" s="2"/>
      <c r="E9" s="2"/>
      <c r="F9" s="6"/>
      <c r="G9" s="2"/>
      <c r="H9" s="2"/>
      <c r="I9" s="4"/>
      <c r="J9" s="4"/>
      <c r="K9" s="4"/>
      <c r="L9" s="4"/>
      <c r="M9" s="12"/>
      <c r="N9" s="12"/>
      <c r="O9" s="2"/>
    </row>
    <row r="10" spans="2:15" x14ac:dyDescent="0.45">
      <c r="I10" s="3"/>
      <c r="J10" s="3"/>
      <c r="K10" s="5">
        <f>SUBTOTAL(9, K4:K9)</f>
        <v>402.75041589260098</v>
      </c>
      <c r="L10" s="5">
        <f>SUBTOTAL(9, L4:L9)</f>
        <v>335.62534657716748</v>
      </c>
      <c r="M10" s="5"/>
      <c r="N10" s="17">
        <f>SUBTOTAL(9, N4:N9)</f>
        <v>26.727000000000004</v>
      </c>
      <c r="O10" s="10" t="s">
        <v>14</v>
      </c>
    </row>
    <row r="15" spans="2:15" ht="15" customHeight="1" x14ac:dyDescent="0.45">
      <c r="D15" s="11"/>
    </row>
    <row r="18" spans="6:14" x14ac:dyDescent="0.45">
      <c r="F18" s="7"/>
      <c r="I18" s="8"/>
      <c r="J18" s="8"/>
      <c r="K18" s="8"/>
      <c r="L18" s="8"/>
      <c r="M18" s="8"/>
      <c r="N18" s="8"/>
    </row>
    <row r="20" spans="6:14" x14ac:dyDescent="0.45">
      <c r="F20" s="7"/>
    </row>
    <row r="27" spans="6:14" x14ac:dyDescent="0.45">
      <c r="G27" s="9"/>
      <c r="H27" s="9"/>
    </row>
  </sheetData>
  <autoFilter ref="B3:O7" xr:uid="{00000000-0009-0000-0000-000002000000}"/>
  <hyperlinks>
    <hyperlink ref="F4" r:id="rId1" display="https://www.haberkorn.com/item-profilsysteme/mb-systembaukasten/profile-und-zubehoer/konstruktionsprofil/1093819-konstruktionsprofil-8-rastermass-40-mm?partNumber=Z12685" xr:uid="{00000000-0004-0000-0200-000000000000}"/>
    <hyperlink ref="F5" r:id="rId2" display="https://www.haberkorn.com/item-profilsysteme/mb-systembaukasten/profile-und-zubehoer/konstruktionsprofil/1093819-konstruktionsprofil-8-rastermass-40-mm?partNumber=Z12685" xr:uid="{00000000-0004-0000-0200-000001000000}"/>
    <hyperlink ref="F6" r:id="rId3" xr:uid="{00000000-0004-0000-0200-000002000000}"/>
    <hyperlink ref="F7" r:id="rId4" xr:uid="{00000000-0004-0000-0200-000003000000}"/>
  </hyperlinks>
  <pageMargins left="0.7" right="0.7" top="0.78740157499999996" bottom="0.78740157499999996" header="0.3" footer="0.3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D17"/>
  <sheetViews>
    <sheetView workbookViewId="0">
      <selection activeCell="D24" sqref="D24"/>
    </sheetView>
  </sheetViews>
  <sheetFormatPr baseColWidth="10" defaultColWidth="11.3984375" defaultRowHeight="14.25" x14ac:dyDescent="0.45"/>
  <cols>
    <col min="2" max="2" width="6.59765625" bestFit="1" customWidth="1"/>
    <col min="3" max="3" width="14.59765625" bestFit="1" customWidth="1"/>
    <col min="4" max="4" width="65.265625" bestFit="1" customWidth="1"/>
  </cols>
  <sheetData>
    <row r="3" spans="2:4" x14ac:dyDescent="0.45">
      <c r="B3" s="21" t="s">
        <v>163</v>
      </c>
      <c r="C3" s="1" t="s">
        <v>164</v>
      </c>
      <c r="D3" s="1" t="s">
        <v>15</v>
      </c>
    </row>
    <row r="4" spans="2:4" ht="28.5" x14ac:dyDescent="0.45">
      <c r="B4" s="22">
        <v>1</v>
      </c>
      <c r="C4" s="23" t="s">
        <v>0</v>
      </c>
      <c r="D4" s="24" t="s">
        <v>165</v>
      </c>
    </row>
    <row r="5" spans="2:4" x14ac:dyDescent="0.45">
      <c r="B5" s="22">
        <v>2</v>
      </c>
      <c r="C5" s="23" t="s">
        <v>1</v>
      </c>
      <c r="D5" s="23" t="s">
        <v>166</v>
      </c>
    </row>
    <row r="6" spans="2:4" x14ac:dyDescent="0.45">
      <c r="B6" s="22">
        <v>3</v>
      </c>
      <c r="C6" s="23" t="s">
        <v>2</v>
      </c>
      <c r="D6" s="23" t="s">
        <v>167</v>
      </c>
    </row>
    <row r="7" spans="2:4" x14ac:dyDescent="0.45">
      <c r="B7" s="22">
        <v>4</v>
      </c>
      <c r="C7" s="23" t="s">
        <v>3</v>
      </c>
      <c r="D7" s="23" t="s">
        <v>168</v>
      </c>
    </row>
    <row r="8" spans="2:4" x14ac:dyDescent="0.45">
      <c r="B8" s="22">
        <v>5</v>
      </c>
      <c r="C8" s="23" t="s">
        <v>4</v>
      </c>
      <c r="D8" s="23" t="s">
        <v>169</v>
      </c>
    </row>
    <row r="9" spans="2:4" x14ac:dyDescent="0.45">
      <c r="B9" s="22">
        <v>6</v>
      </c>
      <c r="C9" s="23" t="s">
        <v>5</v>
      </c>
      <c r="D9" s="23" t="s">
        <v>170</v>
      </c>
    </row>
    <row r="10" spans="2:4" x14ac:dyDescent="0.45">
      <c r="B10" s="22">
        <v>7</v>
      </c>
      <c r="C10" s="23" t="s">
        <v>6</v>
      </c>
      <c r="D10" s="23" t="s">
        <v>171</v>
      </c>
    </row>
    <row r="11" spans="2:4" ht="28.5" x14ac:dyDescent="0.45">
      <c r="B11" s="22">
        <v>8</v>
      </c>
      <c r="C11" s="23" t="s">
        <v>7</v>
      </c>
      <c r="D11" s="24" t="s">
        <v>172</v>
      </c>
    </row>
    <row r="12" spans="2:4" ht="28.5" x14ac:dyDescent="0.45">
      <c r="B12" s="22">
        <v>9</v>
      </c>
      <c r="C12" s="23" t="s">
        <v>8</v>
      </c>
      <c r="D12" s="24" t="s">
        <v>173</v>
      </c>
    </row>
    <row r="13" spans="2:4" x14ac:dyDescent="0.45">
      <c r="B13" s="22">
        <v>10</v>
      </c>
      <c r="C13" s="23" t="s">
        <v>9</v>
      </c>
      <c r="D13" s="23" t="s">
        <v>174</v>
      </c>
    </row>
    <row r="14" spans="2:4" x14ac:dyDescent="0.45">
      <c r="B14" s="22">
        <v>11</v>
      </c>
      <c r="C14" s="23" t="s">
        <v>10</v>
      </c>
      <c r="D14" s="23" t="s">
        <v>175</v>
      </c>
    </row>
    <row r="15" spans="2:4" x14ac:dyDescent="0.45">
      <c r="B15" s="22">
        <v>12</v>
      </c>
      <c r="C15" s="23" t="s">
        <v>11</v>
      </c>
      <c r="D15" s="23" t="s">
        <v>176</v>
      </c>
    </row>
    <row r="16" spans="2:4" ht="28.5" x14ac:dyDescent="0.45">
      <c r="B16" s="22">
        <v>13</v>
      </c>
      <c r="C16" s="23" t="s">
        <v>12</v>
      </c>
      <c r="D16" s="24" t="s">
        <v>177</v>
      </c>
    </row>
    <row r="17" spans="2:4" x14ac:dyDescent="0.45">
      <c r="B17" s="22">
        <v>14</v>
      </c>
      <c r="C17" s="23" t="s">
        <v>13</v>
      </c>
      <c r="D17" s="23" t="s">
        <v>13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D31C0539A70124D83FE27768DDE6687" ma:contentTypeVersion="11" ma:contentTypeDescription="Ein neues Dokument erstellen." ma:contentTypeScope="" ma:versionID="087d5e5cdd45b984b0e70884a7cd163a">
  <xsd:schema xmlns:xsd="http://www.w3.org/2001/XMLSchema" xmlns:xs="http://www.w3.org/2001/XMLSchema" xmlns:p="http://schemas.microsoft.com/office/2006/metadata/properties" xmlns:ns2="d375de34-27f2-44e1-9264-af9219470361" xmlns:ns3="e555c732-8e93-43cd-b8ff-027508ddf019" targetNamespace="http://schemas.microsoft.com/office/2006/metadata/properties" ma:root="true" ma:fieldsID="e52615c53f528013c902dbecc06dfcf7" ns2:_="" ns3:_="">
    <xsd:import namespace="d375de34-27f2-44e1-9264-af9219470361"/>
    <xsd:import namespace="e555c732-8e93-43cd-b8ff-027508ddf0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75de34-27f2-44e1-9264-af92194703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c3f857fd-6730-400c-a7bb-5d6cb38ec3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55c732-8e93-43cd-b8ff-027508ddf01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ad8a4d7-9e8f-473b-9b53-f59305d577f8}" ma:internalName="TaxCatchAll" ma:showField="CatchAllData" ma:web="e555c732-8e93-43cd-b8ff-027508ddf01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55c732-8e93-43cd-b8ff-027508ddf019" xsi:nil="true"/>
    <lcf76f155ced4ddcb4097134ff3c332f xmlns="d375de34-27f2-44e1-9264-af921947036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E207BC-8183-49DB-ABCB-60B6A04C1B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75de34-27f2-44e1-9264-af9219470361"/>
    <ds:schemaRef ds:uri="e555c732-8e93-43cd-b8ff-027508ddf0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613FDB-B70B-4C9E-9156-3277845BBBD5}">
  <ds:schemaRefs>
    <ds:schemaRef ds:uri="http://schemas.microsoft.com/office/2006/metadata/properties"/>
    <ds:schemaRef ds:uri="http://schemas.microsoft.com/office/infopath/2007/PartnerControls"/>
    <ds:schemaRef ds:uri="e555c732-8e93-43cd-b8ff-027508ddf019"/>
    <ds:schemaRef ds:uri="d375de34-27f2-44e1-9264-af9219470361"/>
  </ds:schemaRefs>
</ds:datastoreItem>
</file>

<file path=customXml/itemProps3.xml><?xml version="1.0" encoding="utf-8"?>
<ds:datastoreItem xmlns:ds="http://schemas.openxmlformats.org/officeDocument/2006/customXml" ds:itemID="{9F5DB395-6E8D-4CF1-BA8D-A17723EE30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Bestellliste</vt:lpstr>
      <vt:lpstr>Übliche Händler</vt:lpstr>
      <vt:lpstr>Beispiel</vt:lpstr>
      <vt:lpstr>Beschreibung-Spalten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Windows-Benutzer</dc:creator>
  <cp:keywords/>
  <dc:description/>
  <cp:lastModifiedBy>Max Eckstein</cp:lastModifiedBy>
  <cp:revision/>
  <dcterms:created xsi:type="dcterms:W3CDTF">2021-12-01T09:08:01Z</dcterms:created>
  <dcterms:modified xsi:type="dcterms:W3CDTF">2025-06-04T10:21:22Z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0x0101000D31C0539A70124D83FE27768DDE6687</vt:lpwstr>
  </property>
  <property fmtid="{D5CDD505-2E9C-101B-9397-08002B2CF9AE}" pid="3" name="MediaServiceImageTags">
    <vt:lpwstr/>
  </property>
</Properties>
</file>