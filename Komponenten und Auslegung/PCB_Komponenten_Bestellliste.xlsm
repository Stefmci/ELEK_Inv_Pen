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1E0E8EAD-F70F-4867-9407-1BE599C82E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3" l="1"/>
  <c r="I15" i="3"/>
  <c r="I8" i="3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35" i="3"/>
  <c r="L35" i="3" s="1"/>
  <c r="K34" i="3"/>
  <c r="L34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68" i="3" l="1"/>
  <c r="K68" i="3"/>
  <c r="L68" i="3"/>
</calcChain>
</file>

<file path=xl/sharedStrings.xml><?xml version="1.0" encoding="utf-8"?>
<sst xmlns="http://schemas.openxmlformats.org/spreadsheetml/2006/main" count="606" uniqueCount="395">
  <si>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</si>
  <si>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</si>
  <si>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</si>
  <si>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</si>
  <si>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</si>
  <si>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</si>
  <si>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</si>
  <si>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</si>
  <si>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</si>
  <si>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</si>
  <si>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</si>
  <si>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</si>
  <si>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</si>
  <si>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</si>
  <si>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</si>
  <si>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</si>
  <si>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</si>
  <si>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</si>
  <si>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</si>
  <si>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</si>
  <si>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</si>
  <si>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</si>
  <si>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</si>
  <si>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</si>
  <si>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</si>
  <si>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</si>
  <si>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</si>
  <si>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</si>
  <si>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</si>
  <si>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</si>
  <si>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</si>
  <si>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</si>
  <si>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</si>
  <si>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</si>
  <si>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</si>
  <si>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</si>
  <si>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</si>
  <si>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</si>
  <si>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</si>
  <si>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</si>
  <si>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</si>
  <si>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</si>
  <si>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</si>
  <si>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</si>
  <si>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</si>
  <si>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</si>
  <si>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</si>
  <si>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</si>
  <si>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</si>
  <si>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</si>
  <si>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</si>
  <si>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</si>
  <si>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</si>
  <si>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</si>
  <si>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</si>
  <si>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</si>
  <si>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</si>
  <si>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</si>
  <si>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</si>
  <si>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</si>
  <si>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</si>
  <si>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</si>
  <si>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</si>
  <si>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</si>
  <si>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</si>
  <si>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</si>
  <si>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</si>
  <si>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</si>
  <si>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</si>
  <si>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</si>
  <si>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</si>
  <si>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</si>
  <si>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</si>
  <si>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</si>
  <si>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</si>
  <si>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</si>
  <si>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</si>
  <si>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</si>
  <si>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</si>
  <si>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</si>
  <si>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</si>
  <si>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</si>
  <si>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</si>
  <si>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</si>
  <si>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</si>
  <si>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</si>
  <si>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</si>
  <si>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</si>
  <si>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</si>
  <si>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</si>
  <si>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</si>
  <si>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</si>
  <si>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</si>
  <si>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</si>
  <si>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</si>
  <si>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</si>
  <si>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</si>
  <si>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</si>
  <si>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</si>
  <si>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</si>
  <si>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</si>
  <si>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</si>
  <si>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</si>
  <si>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</si>
  <si>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</si>
  <si>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</si>
  <si>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</si>
  <si>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</si>
  <si>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</si>
  <si>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</si>
  <si>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</si>
  <si>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</si>
  <si>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</si>
  <si>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</si>
  <si>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</si>
  <si>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</si>
  <si>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</si>
  <si>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</si>
  <si>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</si>
  <si>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</si>
  <si>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</si>
  <si>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</si>
  <si>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</si>
  <si>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</si>
  <si>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</si>
  <si>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</si>
  <si>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</si>
  <si>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</si>
  <si>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</si>
  <si>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</si>
  <si>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</si>
  <si>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</si>
  <si>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</si>
  <si>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</si>
  <si>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</si>
  <si>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</si>
  <si>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</si>
  <si>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</si>
  <si>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</si>
  <si>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</si>
  <si>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</si>
  <si>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</si>
  <si>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</si>
  <si>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</si>
  <si>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</si>
  <si>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</si>
  <si>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</si>
  <si>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</si>
  <si>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</si>
  <si>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</si>
  <si>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</si>
  <si>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</si>
  <si>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</si>
  <si>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</si>
  <si>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</si>
  <si>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</si>
  <si>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</si>
  <si>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</si>
  <si>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</si>
  <si>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</si>
  <si>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</si>
  <si>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</si>
  <si>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</si>
  <si>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</si>
  <si>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</si>
  <si>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</si>
  <si>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</si>
  <si>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</si>
  <si>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</si>
  <si>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</si>
  <si>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</si>
  <si>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</si>
  <si>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</si>
  <si>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</si>
  <si>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</si>
  <si>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</si>
  <si>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</si>
  <si>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</si>
  <si>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</si>
  <si>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</si>
  <si>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</si>
  <si>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</si>
  <si>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</si>
  <si>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</si>
  <si>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</si>
  <si>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</si>
  <si>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</si>
  <si>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</si>
  <si>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</si>
  <si>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</si>
  <si>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</si>
  <si>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</si>
  <si>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</si>
  <si>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</si>
  <si>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</si>
  <si>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</si>
  <si>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</si>
  <si>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</si>
  <si>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</si>
  <si>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</si>
  <si>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</si>
  <si>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</si>
  <si>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</si>
  <si>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</si>
  <si>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</si>
  <si>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</si>
  <si>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</si>
  <si>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</si>
  <si>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</si>
  <si>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</si>
  <si>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</si>
  <si>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</si>
  <si>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</si>
  <si>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</si>
  <si>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</si>
  <si>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</si>
  <si>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</si>
  <si>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</si>
  <si>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</si>
  <si>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</si>
  <si>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</si>
  <si>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</si>
  <si>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</si>
  <si>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</si>
  <si>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</si>
  <si>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</si>
  <si>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</si>
  <si>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</si>
  <si>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</si>
  <si>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</si>
  <si>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</si>
  <si>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</si>
  <si>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</si>
  <si>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</si>
  <si>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</si>
  <si>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</si>
  <si>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</si>
  <si>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</si>
  <si>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</si>
  <si>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</si>
  <si>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</si>
  <si>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</si>
  <si>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</si>
  <si>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</si>
  <si>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</si>
  <si>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</si>
  <si>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</si>
  <si>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</si>
  <si>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</si>
  <si>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</si>
  <si>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</si>
  <si>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</si>
  <si>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</si>
  <si>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</si>
  <si>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</si>
  <si>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</si>
  <si>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</si>
  <si>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</si>
  <si>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</si>
  <si>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</si>
  <si>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</si>
  <si>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</si>
  <si>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</si>
  <si>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</si>
  <si>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</si>
  <si>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</si>
  <si>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</si>
  <si>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</si>
  <si>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</si>
  <si>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</si>
  <si>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</si>
  <si>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</si>
  <si>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</si>
  <si>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</si>
  <si>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</si>
  <si>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</si>
  <si>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</si>
  <si>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</si>
  <si>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</si>
  <si>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</si>
  <si>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</si>
  <si>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</si>
  <si>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</si>
  <si>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</si>
  <si>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</si>
  <si>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8.2pF 50V 0603 KerKo</t>
  </si>
  <si>
    <t>2.4pF 50V 0402 KerKo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</si>
  <si>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</si>
  <si>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</si>
  <si>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</si>
  <si>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</si>
  <si>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</si>
  <si>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</si>
  <si>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</si>
  <si>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</si>
  <si>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</si>
  <si>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</si>
  <si>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</si>
  <si>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</si>
  <si>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</si>
  <si>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</si>
  <si>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</si>
  <si>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</si>
  <si>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</si>
  <si>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</si>
  <si>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</si>
  <si>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</si>
  <si>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</si>
  <si>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</si>
  <si>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</si>
  <si>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</si>
  <si>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</si>
  <si>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</si>
  <si>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</si>
  <si>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</si>
  <si>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E12-Reihe Widerstand 12k Ohm 0805</t>
  </si>
  <si>
    <t>E12-Reihe Widerstand 10k Ohm 0805</t>
  </si>
  <si>
    <t>E12-Reihe Widerstand 4.7k Ohm 0805</t>
  </si>
  <si>
    <t>E12-Reihe Widerstand 1.5k Ohm 0805</t>
  </si>
  <si>
    <t>E12-Reihe Widerstand 1k Ohm 0805</t>
  </si>
  <si>
    <t>E12-Reihe Widerstand 470 Ohm 0805</t>
  </si>
  <si>
    <t>E12-Reihe Widerstand 100 Ohm 0805</t>
  </si>
  <si>
    <t>E12-Reihe Widerstand 68 Ohm 0805</t>
  </si>
  <si>
    <t>E12-Reihe Widerstand 22 Ohm 0805</t>
  </si>
  <si>
    <t>E12-Reihe Widerstand 10 Ohm 0805</t>
  </si>
  <si>
    <t>E12-Widerstände (nicht bestellen)</t>
  </si>
  <si>
    <t>ERJ6ENF1202V</t>
  </si>
  <si>
    <t>ERA-6AEB103V</t>
  </si>
  <si>
    <t>ERA6AEB472V</t>
  </si>
  <si>
    <t>CRCW08051K50FKEA</t>
  </si>
  <si>
    <t>ERA6AEB102V</t>
  </si>
  <si>
    <t>RC0805FR-07470RL</t>
  </si>
  <si>
    <t>ERA6AEB101V</t>
  </si>
  <si>
    <t>CRCW080568R0FKEA</t>
  </si>
  <si>
    <t>CRCW080522R0FKEA</t>
  </si>
  <si>
    <t>RC0805FR-0710RL</t>
  </si>
  <si>
    <t>667-ERA-6AEB103V</t>
  </si>
  <si>
    <t>https://www.mouser.at/ProductDetail/Panasonic/ERA-6AEB103V?qs=1VWA5LkbEaq074TWE8fpJw%3D%3D</t>
  </si>
  <si>
    <t>667-ERA-6AEB472V</t>
  </si>
  <si>
    <t>667-ERA-6AEB102V</t>
  </si>
  <si>
    <t>667-ERA-6AEB101V</t>
  </si>
  <si>
    <t>https://www.mouser.at/ProductDetail/Panasonic/ERA-6AEB472V?qs=1VWA5LkbEaotqeDhWFRruQ%3D%3D</t>
  </si>
  <si>
    <t>https://www.mouser.at/ProductDetail/Vishay/CRCW08051K50FKEA?qs=DZvKvnD5UYVo4ieimONp3Q%3D%3D</t>
  </si>
  <si>
    <t>71-CRCW0805-1.5K-E3</t>
  </si>
  <si>
    <t>https://www.mouser.at/ProductDetail/Panasonic/ERA-6AEB102V?qs=1VWA5LkbEaodAYxyfKqGQw%3D%3D</t>
  </si>
  <si>
    <t>603-RC0805FR-07470RL</t>
  </si>
  <si>
    <t>603-RC0805FR-0710RL</t>
  </si>
  <si>
    <t>https://www.mouser.at/ProductDetail/YAGEO/RC0805FR-07470RL?qs=CSLd874fYV2wsnqMGLpcHA%3D%3D</t>
  </si>
  <si>
    <t>https://www.mouser.at/ProductDetail/Panasonic/ERA-6AEB101V?qs=1VWA5LkbEao8sH84VneDFA%3D%3D</t>
  </si>
  <si>
    <t>71-CRCW080568R0FKEA</t>
  </si>
  <si>
    <t>https://www.mouser.at/ProductDetail/Vishay/CRCW080568R0FKEA?qs=QtIOgScU7%252BuN8q%252Byb2qbxQ%3D%3D</t>
  </si>
  <si>
    <t>71-CRCW0805-22-E3</t>
  </si>
  <si>
    <t>https://www.mouser.at/ProductDetail/Vishay/CRCW080522R0FKEA?qs=fIsz7OpyEY9aZZAJSCbWBw%3D%3D</t>
  </si>
  <si>
    <t>https://www.mouser.at/ProductDetail/YAGEO/RC0805FR-0710RL?qs=8Y8p%252BasKcI5T5bn0nqNRsw%3D%3D</t>
  </si>
  <si>
    <t>E12-Reihe KerKo 10µF 50V 0805</t>
  </si>
  <si>
    <t>E12-Reihe KerKo 4.7µF 50V 0805</t>
  </si>
  <si>
    <t>E12-Reihe KerKo 2.2µF 50V 0805</t>
  </si>
  <si>
    <t>E12-Reihe KerKo 1µF 50V 0805</t>
  </si>
  <si>
    <t>E12-Reihe KerKo 100nF 50V 0805</t>
  </si>
  <si>
    <t>E12-Reihe KerKo 27pF 50V 0805</t>
  </si>
  <si>
    <t>E12-Reihe KerKo 15pF 50V 0805</t>
  </si>
  <si>
    <t>E12-Reihe KerKo 10pF 50V 0805</t>
  </si>
  <si>
    <t>GRM21BR61H106KE43L</t>
  </si>
  <si>
    <t>C2012X5R1H475K125AB</t>
  </si>
  <si>
    <t>CGA4J3X7R1H225K125AE</t>
  </si>
  <si>
    <t>C0805C105K5RACTU</t>
  </si>
  <si>
    <t>CC0805KRX7R9BB104</t>
  </si>
  <si>
    <t>C0805C270J5GACTU</t>
  </si>
  <si>
    <t>08055A150JAT2A</t>
  </si>
  <si>
    <t>E12-KerKo (nicht bestellen)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</si>
  <si>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</si>
  <si>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</si>
  <si>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</si>
  <si>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</si>
  <si>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</si>
  <si>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</si>
  <si>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</si>
  <si>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</si>
  <si>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</si>
  <si>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603-CC805KRX7R9BB104</t>
  </si>
  <si>
    <t>https://www.mouser.at/ProductDetail/YAGEO/CC0805KRX7R9BB104?qs=vTakOoo5QyLx0lXWgVtRhQ%3D%3D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</si>
  <si>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</si>
  <si>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</si>
  <si>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</si>
  <si>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</si>
  <si>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</si>
  <si>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</si>
  <si>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667-ERJ-6ENF1202V</t>
  </si>
  <si>
    <t>https://www.mouser.at/ProductDetail/Panasonic/ERJ-6ENF1202V?qs=4WZYzuGhm5qHez1oeGI6bA%3D%3D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</si>
  <si>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</si>
  <si>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</si>
  <si>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</si>
  <si>
    <t>474-COM-15809</t>
  </si>
  <si>
    <t>W25Q32FV</t>
  </si>
  <si>
    <t>COM-15809 SparkFun | Mouser Austria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</si>
</sst>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5" fillId="0" borderId="0" xfId="0" applyFont="1" applyAlignment="1">
      <alignment horizontal="center" vertical="center" textRotation="90" wrapText="1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Panasonic/ERA-6AEB102V?qs=1VWA5LkbEaodAYxyfKqGQw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Vishay/CRCW080568R0FKEA?qs=QtIOgScU7%252BuN8q%252Byb2qbxQ%3D%3D" TargetMode="External"/><Relationship Id="rId47" Type="http://schemas.openxmlformats.org/officeDocument/2006/relationships/hyperlink" Target="https://www.mouser.at/ProductDetail/TDK/CGA4J3X7R1H225K125AE?qs=P%2FC4Eoq9CDwFRkh%2Fc8nt%2FA%3D%3D" TargetMode="External"/><Relationship Id="rId50" Type="http://schemas.openxmlformats.org/officeDocument/2006/relationships/hyperlink" Target="https://www.mouser.at/ProductDetail/KEMET/C0805C270J5GACTU?qs=PkXL6o6vp1EdbKoO6h1EFg%3D%3D" TargetMode="External"/><Relationship Id="rId55" Type="http://schemas.openxmlformats.org/officeDocument/2006/relationships/hyperlink" Target="https://www.mouser.at/ProductDetail/SparkFun/COM-15809?qs=wnTfsH77Xs4W6lzhkB8rzg%3D%3D" TargetMode="External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Panasonic/ERA-6AEB472V?qs=1VWA5LkbEaotqeDhWFRruQ%3D%3D" TargetMode="External"/><Relationship Id="rId40" Type="http://schemas.openxmlformats.org/officeDocument/2006/relationships/hyperlink" Target="https://www.mouser.at/ProductDetail/YAGEO/RC0805FR-07470RL?qs=CSLd874fYV2wsnqMGLpcHA%3D%3D" TargetMode="External"/><Relationship Id="rId45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53" Type="http://schemas.openxmlformats.org/officeDocument/2006/relationships/hyperlink" Target="https://www.mouser.at/ProductDetail/Panasonic/ERJ-6ENF1202V?qs=4WZYzuGhm5qHez1oeGI6bA%3D%3D" TargetMode="External"/><Relationship Id="rId5" Type="http://schemas.openxmlformats.org/officeDocument/2006/relationships/hyperlink" Target="https://at.farnell.com/microchip/93lc56bt-i-ot/serial-eeprom-2kbit-2mhz-sot-23/dp/1556165?CMP=GRHB-OCTOPART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YAGEO/RC0805FR-0710RL?qs=8Y8p%252BasKcI5T5bn0nqNRsw%3D%3D" TargetMode="External"/><Relationship Id="rId52" Type="http://schemas.openxmlformats.org/officeDocument/2006/relationships/hyperlink" Target="https://www.mouser.at/ProductDetail/KYOCERA-AVX/08055A100JAT2A?qs=sXYjIdLHthxdnSWJ4UNpVw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Vishay/CRCW080522R0FKEA?qs=fIsz7OpyEY9aZZAJSCbWBw%3D%3D" TargetMode="External"/><Relationship Id="rId48" Type="http://schemas.openxmlformats.org/officeDocument/2006/relationships/hyperlink" Target="https://www.mouser.at/ProductDetail/KEMET/C0805C105K5RACTU?qs=iP0bYSAMAFrBrUflcErrLQ%3D%3D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51" Type="http://schemas.openxmlformats.org/officeDocument/2006/relationships/hyperlink" Target="https://www.mouser.at/ProductDetail/KYOCERA-AVX/08055A150JAT2A?qs=pZVDklL%2Fs8hiEua37sqbaA%3D%3D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Vishay/CRCW08051K50FKEA?qs=DZvKvnD5UYVo4ieimONp3Q%3D%3D" TargetMode="External"/><Relationship Id="rId46" Type="http://schemas.openxmlformats.org/officeDocument/2006/relationships/hyperlink" Target="https://www.mouser.at/ProductDetail/TDK/C2012X5R1H475K125AB?qs=NRhsANhppD%252BC04rCIKmBp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Panasonic/ERA-6AEB101V?qs=1VWA5LkbEao8sH84VneDFA%3D%3D" TargetMode="External"/><Relationship Id="rId54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Panasonic/ERA-6AEB103V?qs=1VWA5LkbEaq074TWE8fpJw%3D%3D" TargetMode="External"/><Relationship Id="rId49" Type="http://schemas.openxmlformats.org/officeDocument/2006/relationships/hyperlink" Target="https://www.mouser.at/ProductDetail/YAGEO/CC0805KRX7R9BB104?qs=vTakOoo5QyLx0lXWgVtRhQ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O85"/>
  <sheetViews>
    <sheetView tabSelected="1" topLeftCell="A25" zoomScaleNormal="100" workbookViewId="0">
      <selection activeCell="C34" sqref="C34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22.140625" bestFit="1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2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67" si="2">I5*G5*IF(ISBLANK(H5), 1, H5)</f>
        <v>5.04</v>
      </c>
      <c r="L5" s="14">
        <f t="shared" ref="L5:L67" si="3">K5/1.2</f>
        <v>4.2</v>
      </c>
      <c r="M5" s="16"/>
      <c r="N5" s="15"/>
    </row>
    <row r="6" spans="2:15" x14ac:dyDescent="0.2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2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2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2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2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2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2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2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2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2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2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2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2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2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2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2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2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2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2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2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2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2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2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2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2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2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2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2:15" x14ac:dyDescent="0.25">
      <c r="C33" t="s">
        <v>393</v>
      </c>
      <c r="D33" t="s">
        <v>98</v>
      </c>
      <c r="E33" s="18" t="s">
        <v>392</v>
      </c>
      <c r="F33" s="19" t="s">
        <v>394</v>
      </c>
      <c r="G33">
        <v>1</v>
      </c>
      <c r="I33" s="14">
        <v>1.86</v>
      </c>
      <c r="J33" s="14">
        <v>1.5499999384085363</v>
      </c>
      <c r="K33" s="14">
        <v>1.86</v>
      </c>
      <c r="L33" s="14">
        <f t="shared" si="3"/>
        <v>1.55</v>
      </c>
      <c r="M33" s="16"/>
      <c r="N33" s="15"/>
    </row>
    <row r="34" spans="2:15" x14ac:dyDescent="0.25">
      <c r="E34" s="18"/>
      <c r="F34" s="13"/>
      <c r="I34" s="14">
        <v>0</v>
      </c>
      <c r="J34" s="14">
        <v>0</v>
      </c>
      <c r="K34" s="14">
        <f t="shared" si="2"/>
        <v>0</v>
      </c>
      <c r="L34" s="14">
        <f t="shared" si="3"/>
        <v>0</v>
      </c>
      <c r="M34" s="16"/>
      <c r="N34" s="15"/>
    </row>
    <row r="35" spans="2:15" x14ac:dyDescent="0.25">
      <c r="E35" s="18"/>
      <c r="F35" s="13"/>
      <c r="I35" s="14">
        <v>0</v>
      </c>
      <c r="J35" s="14">
        <v>0</v>
      </c>
      <c r="K35" s="14">
        <f t="shared" si="2"/>
        <v>0</v>
      </c>
      <c r="L35" s="14">
        <f t="shared" si="3"/>
        <v>0</v>
      </c>
      <c r="M35" s="16"/>
      <c r="N35" s="15"/>
    </row>
    <row r="36" spans="2:15" x14ac:dyDescent="0.25">
      <c r="B36" s="25"/>
      <c r="C36" s="25" t="s">
        <v>262</v>
      </c>
      <c r="D36" s="25" t="s">
        <v>98</v>
      </c>
      <c r="E36" s="32" t="s">
        <v>264</v>
      </c>
      <c r="F36" s="33" t="s">
        <v>263</v>
      </c>
      <c r="G36" s="25">
        <v>1</v>
      </c>
      <c r="H36" s="25"/>
      <c r="I36" s="34">
        <v>1.02</v>
      </c>
      <c r="J36" s="34">
        <v>0.84999996622403595</v>
      </c>
      <c r="K36" s="34">
        <f t="shared" ref="K36:K49" si="4">I36*G36*IF(ISBLANK(H36), 1, H36)</f>
        <v>1.02</v>
      </c>
      <c r="L36" s="34">
        <f t="shared" ref="L36:L49" si="5">K36/1.2</f>
        <v>0.85000000000000009</v>
      </c>
      <c r="M36" s="35"/>
      <c r="N36" s="36"/>
      <c r="O36" s="25" t="s">
        <v>274</v>
      </c>
    </row>
    <row r="37" spans="2:15" x14ac:dyDescent="0.25">
      <c r="C37" t="s">
        <v>265</v>
      </c>
      <c r="D37" t="s">
        <v>98</v>
      </c>
      <c r="E37" s="18" t="s">
        <v>266</v>
      </c>
      <c r="F37" s="13" t="s">
        <v>267</v>
      </c>
      <c r="G37">
        <v>1</v>
      </c>
      <c r="I37" s="14">
        <v>0.70299999999999996</v>
      </c>
      <c r="J37" s="14">
        <v>0.58583331005440908</v>
      </c>
      <c r="K37" s="14">
        <f t="shared" si="4"/>
        <v>0.70299999999999996</v>
      </c>
      <c r="L37" s="14">
        <f t="shared" si="5"/>
        <v>0.58583333333333332</v>
      </c>
      <c r="M37" s="16"/>
      <c r="N37" s="15"/>
      <c r="O37" t="s">
        <v>275</v>
      </c>
    </row>
    <row r="38" spans="2:15" x14ac:dyDescent="0.25">
      <c r="C38" t="s">
        <v>389</v>
      </c>
      <c r="D38" t="s">
        <v>98</v>
      </c>
      <c r="E38" s="18" t="s">
        <v>390</v>
      </c>
      <c r="F38" s="13" t="s">
        <v>391</v>
      </c>
      <c r="G38">
        <v>3</v>
      </c>
      <c r="I38" s="14">
        <v>0.60799999999999998</v>
      </c>
      <c r="J38" s="14">
        <v>0.50666664653354299</v>
      </c>
      <c r="K38" s="14">
        <f t="shared" si="4"/>
        <v>1.8239999999999998</v>
      </c>
      <c r="L38" s="14">
        <f t="shared" si="5"/>
        <v>1.52</v>
      </c>
      <c r="M38" s="16"/>
      <c r="N38" s="15"/>
      <c r="O38" t="s">
        <v>278</v>
      </c>
    </row>
    <row r="39" spans="2:15" x14ac:dyDescent="0.25">
      <c r="C39" t="s">
        <v>268</v>
      </c>
      <c r="D39" t="s">
        <v>98</v>
      </c>
      <c r="E39" s="18" t="s">
        <v>269</v>
      </c>
      <c r="F39" s="13" t="s">
        <v>270</v>
      </c>
      <c r="G39">
        <v>1</v>
      </c>
      <c r="I39" s="14">
        <v>0.52300000000000002</v>
      </c>
      <c r="J39" s="14">
        <v>0.43583331601487335</v>
      </c>
      <c r="K39" s="14">
        <f t="shared" si="4"/>
        <v>0.52300000000000002</v>
      </c>
      <c r="L39" s="14">
        <f t="shared" si="5"/>
        <v>0.43583333333333335</v>
      </c>
      <c r="M39" s="16"/>
      <c r="N39" s="15"/>
      <c r="O39" t="s">
        <v>276</v>
      </c>
    </row>
    <row r="40" spans="2:15" x14ac:dyDescent="0.25">
      <c r="C40" t="s">
        <v>271</v>
      </c>
      <c r="D40" t="s">
        <v>98</v>
      </c>
      <c r="E40" s="18" t="s">
        <v>272</v>
      </c>
      <c r="F40" s="13" t="s">
        <v>273</v>
      </c>
      <c r="G40">
        <v>1</v>
      </c>
      <c r="I40" s="14">
        <v>0.314</v>
      </c>
      <c r="J40" s="14">
        <v>0.26166665626896796</v>
      </c>
      <c r="K40" s="14">
        <f t="shared" si="4"/>
        <v>0.314</v>
      </c>
      <c r="L40" s="14">
        <f t="shared" si="5"/>
        <v>0.26166666666666666</v>
      </c>
      <c r="M40" s="16"/>
      <c r="N40" s="15"/>
      <c r="O40" t="s">
        <v>277</v>
      </c>
    </row>
    <row r="41" spans="2:15" x14ac:dyDescent="0.25">
      <c r="C41" t="s">
        <v>279</v>
      </c>
      <c r="D41" t="s">
        <v>98</v>
      </c>
      <c r="E41" s="18" t="s">
        <v>280</v>
      </c>
      <c r="F41" s="13" t="s">
        <v>281</v>
      </c>
      <c r="G41">
        <v>1</v>
      </c>
      <c r="I41" s="14">
        <v>0.14299999999999999</v>
      </c>
      <c r="J41" s="14">
        <v>0.11916666193140896</v>
      </c>
      <c r="K41" s="14">
        <f t="shared" si="4"/>
        <v>0.14299999999999999</v>
      </c>
      <c r="L41" s="14">
        <f t="shared" si="5"/>
        <v>0.11916666666666666</v>
      </c>
      <c r="M41" s="16"/>
      <c r="N41" s="15"/>
      <c r="O41" t="s">
        <v>285</v>
      </c>
    </row>
    <row r="42" spans="2:15" x14ac:dyDescent="0.25">
      <c r="C42" t="s">
        <v>282</v>
      </c>
      <c r="D42" t="s">
        <v>98</v>
      </c>
      <c r="E42" s="18" t="s">
        <v>283</v>
      </c>
      <c r="F42" s="13" t="s">
        <v>284</v>
      </c>
      <c r="G42">
        <v>1</v>
      </c>
      <c r="I42" s="14">
        <v>0.13300000000000001</v>
      </c>
      <c r="J42" s="14">
        <v>0.11083332892921254</v>
      </c>
      <c r="K42" s="14">
        <f t="shared" si="4"/>
        <v>0.13300000000000001</v>
      </c>
      <c r="L42" s="14">
        <f t="shared" si="5"/>
        <v>0.11083333333333334</v>
      </c>
      <c r="M42" s="16"/>
      <c r="N42" s="15"/>
      <c r="O42" t="s">
        <v>286</v>
      </c>
    </row>
    <row r="43" spans="2:15" x14ac:dyDescent="0.25">
      <c r="C43" t="s">
        <v>287</v>
      </c>
      <c r="D43" t="s">
        <v>98</v>
      </c>
      <c r="E43" s="18" t="s">
        <v>288</v>
      </c>
      <c r="F43" s="13" t="s">
        <v>289</v>
      </c>
      <c r="G43">
        <v>2</v>
      </c>
      <c r="I43" s="14">
        <v>0.41799999999999998</v>
      </c>
      <c r="J43" s="14">
        <v>0.34833331949181079</v>
      </c>
      <c r="K43" s="14">
        <f t="shared" si="4"/>
        <v>0.83599999999999997</v>
      </c>
      <c r="L43" s="14">
        <f t="shared" si="5"/>
        <v>0.69666666666666666</v>
      </c>
      <c r="M43" s="16"/>
      <c r="N43" s="15"/>
      <c r="O43" t="s">
        <v>290</v>
      </c>
    </row>
    <row r="44" spans="2:15" x14ac:dyDescent="0.25">
      <c r="C44" t="s">
        <v>297</v>
      </c>
      <c r="D44" t="s">
        <v>98</v>
      </c>
      <c r="E44" s="18" t="s">
        <v>298</v>
      </c>
      <c r="F44" s="13" t="s">
        <v>299</v>
      </c>
      <c r="G44">
        <v>1</v>
      </c>
      <c r="I44" s="14">
        <v>9.5000000000000001E-2</v>
      </c>
      <c r="J44" s="14">
        <v>7.9166663520866098E-2</v>
      </c>
      <c r="K44" s="14">
        <f t="shared" si="4"/>
        <v>9.5000000000000001E-2</v>
      </c>
      <c r="L44" s="14">
        <f t="shared" si="5"/>
        <v>7.9166666666666677E-2</v>
      </c>
      <c r="M44" s="16"/>
      <c r="N44" s="15"/>
      <c r="O44" t="s">
        <v>291</v>
      </c>
    </row>
    <row r="45" spans="2:15" x14ac:dyDescent="0.25">
      <c r="B45" s="37"/>
      <c r="C45" t="s">
        <v>300</v>
      </c>
      <c r="D45" t="s">
        <v>98</v>
      </c>
      <c r="E45" s="18" t="s">
        <v>306</v>
      </c>
      <c r="F45" s="13" t="s">
        <v>305</v>
      </c>
      <c r="G45">
        <v>1</v>
      </c>
      <c r="I45" s="14">
        <v>0.105</v>
      </c>
      <c r="J45" s="14">
        <v>8.749999652306252E-2</v>
      </c>
      <c r="K45" s="14">
        <f t="shared" si="4"/>
        <v>0.105</v>
      </c>
      <c r="L45" s="14">
        <f t="shared" si="5"/>
        <v>8.7499999999999994E-2</v>
      </c>
      <c r="M45" s="16"/>
      <c r="N45" s="15"/>
      <c r="O45" t="s">
        <v>292</v>
      </c>
    </row>
    <row r="46" spans="2:15" x14ac:dyDescent="0.25">
      <c r="C46" t="s">
        <v>301</v>
      </c>
      <c r="D46" t="s">
        <v>98</v>
      </c>
      <c r="E46" s="18" t="s">
        <v>308</v>
      </c>
      <c r="F46" s="13" t="s">
        <v>307</v>
      </c>
      <c r="G46">
        <v>1</v>
      </c>
      <c r="I46" s="14">
        <v>9.5000000000000001E-2</v>
      </c>
      <c r="J46" s="14">
        <v>7.9166663520866098E-2</v>
      </c>
      <c r="K46" s="14">
        <f t="shared" si="4"/>
        <v>9.5000000000000001E-2</v>
      </c>
      <c r="L46" s="14">
        <f t="shared" si="5"/>
        <v>7.9166666666666677E-2</v>
      </c>
      <c r="M46" s="16"/>
      <c r="N46" s="15"/>
      <c r="O46" t="s">
        <v>293</v>
      </c>
    </row>
    <row r="47" spans="2:15" x14ac:dyDescent="0.25">
      <c r="C47" t="s">
        <v>302</v>
      </c>
      <c r="D47" t="s">
        <v>98</v>
      </c>
      <c r="E47" s="18" t="s">
        <v>310</v>
      </c>
      <c r="F47" s="13" t="s">
        <v>309</v>
      </c>
      <c r="G47">
        <v>2</v>
      </c>
      <c r="I47" s="14">
        <v>0.97899999999999998</v>
      </c>
      <c r="J47" s="14">
        <v>0.81583330091503059</v>
      </c>
      <c r="K47" s="14">
        <f t="shared" si="4"/>
        <v>1.958</v>
      </c>
      <c r="L47" s="14">
        <f t="shared" si="5"/>
        <v>1.6316666666666666</v>
      </c>
      <c r="M47" s="16"/>
      <c r="N47" s="15"/>
      <c r="O47" t="s">
        <v>294</v>
      </c>
    </row>
    <row r="48" spans="2:15" x14ac:dyDescent="0.25">
      <c r="C48" t="s">
        <v>304</v>
      </c>
      <c r="D48" t="s">
        <v>98</v>
      </c>
      <c r="E48" s="18" t="s">
        <v>311</v>
      </c>
      <c r="F48" s="13" t="s">
        <v>312</v>
      </c>
      <c r="G48">
        <v>1</v>
      </c>
      <c r="I48" s="14">
        <v>9.5000000000000001E-2</v>
      </c>
      <c r="J48" s="14">
        <v>7.9166663520866098E-2</v>
      </c>
      <c r="K48" s="14">
        <f t="shared" si="4"/>
        <v>9.5000000000000001E-2</v>
      </c>
      <c r="L48" s="14">
        <f t="shared" si="5"/>
        <v>7.9166666666666677E-2</v>
      </c>
      <c r="M48" s="16"/>
      <c r="N48" s="15"/>
      <c r="O48" t="s">
        <v>295</v>
      </c>
    </row>
    <row r="49" spans="1:15" x14ac:dyDescent="0.25">
      <c r="C49" t="s">
        <v>303</v>
      </c>
      <c r="D49" t="s">
        <v>98</v>
      </c>
      <c r="E49" s="18" t="s">
        <v>313</v>
      </c>
      <c r="F49" s="13" t="s">
        <v>314</v>
      </c>
      <c r="G49">
        <v>4</v>
      </c>
      <c r="I49" s="14">
        <v>9.5000000000000001E-2</v>
      </c>
      <c r="J49" s="14">
        <v>7.9166663520866098E-2</v>
      </c>
      <c r="K49" s="14">
        <f t="shared" si="4"/>
        <v>0.38</v>
      </c>
      <c r="L49" s="14">
        <f t="shared" si="5"/>
        <v>0.31666666666666671</v>
      </c>
      <c r="M49" s="16"/>
      <c r="N49" s="15"/>
      <c r="O49" t="s">
        <v>296</v>
      </c>
    </row>
    <row r="50" spans="1:15" x14ac:dyDescent="0.25">
      <c r="A50" s="38" t="s">
        <v>325</v>
      </c>
      <c r="B50" s="25"/>
      <c r="C50" s="25" t="s">
        <v>326</v>
      </c>
      <c r="D50" s="25" t="s">
        <v>98</v>
      </c>
      <c r="E50" s="32" t="s">
        <v>387</v>
      </c>
      <c r="F50" s="33" t="s">
        <v>388</v>
      </c>
      <c r="G50" s="25">
        <v>3</v>
      </c>
      <c r="H50" s="25"/>
      <c r="I50" s="34">
        <v>0.105</v>
      </c>
      <c r="J50" s="34">
        <v>8.749999652306252E-2</v>
      </c>
      <c r="K50" s="34">
        <f t="shared" si="2"/>
        <v>0.315</v>
      </c>
      <c r="L50" s="34">
        <f t="shared" si="3"/>
        <v>0.26250000000000001</v>
      </c>
      <c r="M50" s="35"/>
      <c r="N50" s="36"/>
      <c r="O50" s="25" t="s">
        <v>315</v>
      </c>
    </row>
    <row r="51" spans="1:15" x14ac:dyDescent="0.25">
      <c r="A51" s="38"/>
      <c r="C51" t="s">
        <v>327</v>
      </c>
      <c r="D51" t="s">
        <v>98</v>
      </c>
      <c r="E51" s="18" t="s">
        <v>336</v>
      </c>
      <c r="F51" s="13" t="s">
        <v>337</v>
      </c>
      <c r="G51">
        <v>16</v>
      </c>
      <c r="I51" s="14">
        <v>5.0999999999999997E-2</v>
      </c>
      <c r="J51" s="14">
        <v>4.2499998311201798E-2</v>
      </c>
      <c r="K51" s="14">
        <f t="shared" si="2"/>
        <v>0.81599999999999995</v>
      </c>
      <c r="L51" s="14">
        <f t="shared" si="3"/>
        <v>0.67999999999999994</v>
      </c>
      <c r="M51" s="16"/>
      <c r="N51" s="15"/>
      <c r="O51" t="s">
        <v>316</v>
      </c>
    </row>
    <row r="52" spans="1:15" x14ac:dyDescent="0.25">
      <c r="A52" s="38"/>
      <c r="C52" t="s">
        <v>328</v>
      </c>
      <c r="D52" t="s">
        <v>98</v>
      </c>
      <c r="E52" s="18" t="s">
        <v>338</v>
      </c>
      <c r="F52" s="13" t="s">
        <v>341</v>
      </c>
      <c r="G52">
        <v>4</v>
      </c>
      <c r="I52" s="14">
        <v>9.5000000000000001E-2</v>
      </c>
      <c r="J52" s="14">
        <v>7.9166663520866098E-2</v>
      </c>
      <c r="K52" s="14">
        <f t="shared" si="2"/>
        <v>0.38</v>
      </c>
      <c r="L52" s="14">
        <f t="shared" si="3"/>
        <v>0.31666666666666671</v>
      </c>
      <c r="M52" s="16"/>
      <c r="N52" s="15"/>
      <c r="O52" t="s">
        <v>317</v>
      </c>
    </row>
    <row r="53" spans="1:15" x14ac:dyDescent="0.25">
      <c r="A53" s="38"/>
      <c r="C53" t="s">
        <v>329</v>
      </c>
      <c r="D53" t="s">
        <v>98</v>
      </c>
      <c r="E53" s="18" t="s">
        <v>343</v>
      </c>
      <c r="F53" s="13" t="s">
        <v>342</v>
      </c>
      <c r="G53">
        <v>1</v>
      </c>
      <c r="I53" s="14">
        <v>9.5000000000000001E-2</v>
      </c>
      <c r="J53" s="14">
        <v>7.9166663520866098E-2</v>
      </c>
      <c r="K53" s="14">
        <f t="shared" si="2"/>
        <v>9.5000000000000001E-2</v>
      </c>
      <c r="L53" s="14">
        <f t="shared" si="3"/>
        <v>7.9166666666666677E-2</v>
      </c>
      <c r="M53" s="16"/>
      <c r="N53" s="15"/>
      <c r="O53" t="s">
        <v>318</v>
      </c>
    </row>
    <row r="54" spans="1:15" x14ac:dyDescent="0.25">
      <c r="A54" s="38"/>
      <c r="C54" t="s">
        <v>330</v>
      </c>
      <c r="D54" t="s">
        <v>98</v>
      </c>
      <c r="E54" s="18" t="s">
        <v>339</v>
      </c>
      <c r="F54" s="13" t="s">
        <v>344</v>
      </c>
      <c r="G54">
        <v>5</v>
      </c>
      <c r="I54" s="14">
        <v>9.5000000000000001E-2</v>
      </c>
      <c r="J54" s="14">
        <v>7.9166663520866098E-2</v>
      </c>
      <c r="K54" s="14">
        <f t="shared" si="2"/>
        <v>0.47499999999999998</v>
      </c>
      <c r="L54" s="14">
        <f t="shared" si="3"/>
        <v>0.39583333333333331</v>
      </c>
      <c r="M54" s="16"/>
      <c r="N54" s="15"/>
      <c r="O54" t="s">
        <v>319</v>
      </c>
    </row>
    <row r="55" spans="1:15" x14ac:dyDescent="0.25">
      <c r="A55" s="38"/>
      <c r="C55" t="s">
        <v>331</v>
      </c>
      <c r="D55" t="s">
        <v>98</v>
      </c>
      <c r="E55" s="18" t="s">
        <v>345</v>
      </c>
      <c r="F55" s="13" t="s">
        <v>347</v>
      </c>
      <c r="G55">
        <v>2</v>
      </c>
      <c r="I55" s="14">
        <v>9.5000000000000001E-2</v>
      </c>
      <c r="J55" s="14">
        <v>7.9166663520866098E-2</v>
      </c>
      <c r="K55" s="14">
        <f t="shared" si="2"/>
        <v>0.19</v>
      </c>
      <c r="L55" s="14">
        <f t="shared" si="3"/>
        <v>0.15833333333333335</v>
      </c>
      <c r="M55" s="16"/>
      <c r="N55" s="15"/>
      <c r="O55" t="s">
        <v>320</v>
      </c>
    </row>
    <row r="56" spans="1:15" x14ac:dyDescent="0.25">
      <c r="A56" s="38"/>
      <c r="C56" t="s">
        <v>332</v>
      </c>
      <c r="D56" t="s">
        <v>98</v>
      </c>
      <c r="E56" s="18" t="s">
        <v>340</v>
      </c>
      <c r="F56" s="13" t="s">
        <v>348</v>
      </c>
      <c r="G56">
        <v>5</v>
      </c>
      <c r="I56" s="14">
        <v>9.5000000000000001E-2</v>
      </c>
      <c r="J56" s="14">
        <v>7.9166663520866098E-2</v>
      </c>
      <c r="K56" s="14">
        <f t="shared" si="2"/>
        <v>0.47499999999999998</v>
      </c>
      <c r="L56" s="14">
        <f t="shared" si="3"/>
        <v>0.39583333333333331</v>
      </c>
      <c r="M56" s="16"/>
      <c r="N56" s="15"/>
      <c r="O56" t="s">
        <v>321</v>
      </c>
    </row>
    <row r="57" spans="1:15" x14ac:dyDescent="0.25">
      <c r="A57" s="38"/>
      <c r="C57" t="s">
        <v>333</v>
      </c>
      <c r="D57" t="s">
        <v>98</v>
      </c>
      <c r="E57" s="18" t="s">
        <v>349</v>
      </c>
      <c r="F57" s="13" t="s">
        <v>350</v>
      </c>
      <c r="G57">
        <v>8</v>
      </c>
      <c r="I57" s="14">
        <v>9.5000000000000001E-2</v>
      </c>
      <c r="J57" s="14">
        <v>7.9166663520866098E-2</v>
      </c>
      <c r="K57" s="14">
        <f t="shared" si="2"/>
        <v>0.76</v>
      </c>
      <c r="L57" s="14">
        <f t="shared" si="3"/>
        <v>0.63333333333333341</v>
      </c>
      <c r="M57" s="16"/>
      <c r="N57" s="15"/>
      <c r="O57" t="s">
        <v>322</v>
      </c>
    </row>
    <row r="58" spans="1:15" x14ac:dyDescent="0.25">
      <c r="A58" s="38"/>
      <c r="C58" t="s">
        <v>334</v>
      </c>
      <c r="D58" t="s">
        <v>98</v>
      </c>
      <c r="E58" s="18" t="s">
        <v>351</v>
      </c>
      <c r="F58" s="13" t="s">
        <v>352</v>
      </c>
      <c r="G58">
        <v>1</v>
      </c>
      <c r="I58" s="14">
        <v>9.5000000000000001E-2</v>
      </c>
      <c r="J58" s="14">
        <v>7.9166663520866098E-2</v>
      </c>
      <c r="K58" s="14">
        <f t="shared" si="2"/>
        <v>9.5000000000000001E-2</v>
      </c>
      <c r="L58" s="14">
        <f t="shared" si="3"/>
        <v>7.9166666666666677E-2</v>
      </c>
      <c r="M58" s="16"/>
      <c r="N58" s="15"/>
      <c r="O58" t="s">
        <v>323</v>
      </c>
    </row>
    <row r="59" spans="1:15" x14ac:dyDescent="0.25">
      <c r="A59" s="38"/>
      <c r="C59" t="s">
        <v>335</v>
      </c>
      <c r="D59" t="s">
        <v>98</v>
      </c>
      <c r="E59" s="18" t="s">
        <v>346</v>
      </c>
      <c r="F59" s="13" t="s">
        <v>353</v>
      </c>
      <c r="G59">
        <v>2</v>
      </c>
      <c r="I59" s="14">
        <v>0.105</v>
      </c>
      <c r="J59" s="14">
        <v>8.749999652306252E-2</v>
      </c>
      <c r="K59" s="14">
        <f t="shared" si="2"/>
        <v>0.21</v>
      </c>
      <c r="L59" s="14">
        <f t="shared" si="3"/>
        <v>0.17499999999999999</v>
      </c>
      <c r="M59" s="16"/>
      <c r="N59" s="15"/>
      <c r="O59" t="s">
        <v>324</v>
      </c>
    </row>
    <row r="60" spans="1:15" x14ac:dyDescent="0.25">
      <c r="A60" s="38" t="s">
        <v>369</v>
      </c>
      <c r="B60" s="25"/>
      <c r="C60" s="25" t="s">
        <v>362</v>
      </c>
      <c r="D60" s="25" t="s">
        <v>98</v>
      </c>
      <c r="E60" s="32" t="s">
        <v>370</v>
      </c>
      <c r="F60" s="33" t="s">
        <v>371</v>
      </c>
      <c r="G60" s="25">
        <v>2</v>
      </c>
      <c r="H60" s="25"/>
      <c r="I60" s="34">
        <v>0.26600000000000001</v>
      </c>
      <c r="J60" s="34">
        <v>0.22166665785842507</v>
      </c>
      <c r="K60" s="34">
        <f t="shared" si="2"/>
        <v>0.53200000000000003</v>
      </c>
      <c r="L60" s="34">
        <f t="shared" si="3"/>
        <v>0.44333333333333336</v>
      </c>
      <c r="M60" s="35"/>
      <c r="N60" s="36"/>
      <c r="O60" s="25" t="s">
        <v>354</v>
      </c>
    </row>
    <row r="61" spans="1:15" x14ac:dyDescent="0.25">
      <c r="A61" s="38"/>
      <c r="C61" t="s">
        <v>363</v>
      </c>
      <c r="D61" t="s">
        <v>98</v>
      </c>
      <c r="E61" s="18" t="s">
        <v>372</v>
      </c>
      <c r="F61" s="13" t="s">
        <v>373</v>
      </c>
      <c r="G61">
        <v>3</v>
      </c>
      <c r="I61" s="14">
        <v>0.44700000000000001</v>
      </c>
      <c r="J61" s="14">
        <v>0.37249998519818045</v>
      </c>
      <c r="K61" s="14">
        <f t="shared" si="2"/>
        <v>1.341</v>
      </c>
      <c r="L61" s="14">
        <f t="shared" si="3"/>
        <v>1.1174999999999999</v>
      </c>
      <c r="M61" s="16"/>
      <c r="N61" s="15"/>
      <c r="O61" t="s">
        <v>355</v>
      </c>
    </row>
    <row r="62" spans="1:15" x14ac:dyDescent="0.25">
      <c r="A62" s="38"/>
      <c r="C62" t="s">
        <v>364</v>
      </c>
      <c r="D62" t="s">
        <v>98</v>
      </c>
      <c r="E62" s="18" t="s">
        <v>374</v>
      </c>
      <c r="F62" s="13" t="s">
        <v>375</v>
      </c>
      <c r="G62">
        <v>2</v>
      </c>
      <c r="I62" s="14">
        <v>0.53200000000000003</v>
      </c>
      <c r="J62" s="14">
        <v>0.44333331571685014</v>
      </c>
      <c r="K62" s="14">
        <f t="shared" si="2"/>
        <v>1.0640000000000001</v>
      </c>
      <c r="L62" s="14">
        <f t="shared" si="3"/>
        <v>0.88666666666666671</v>
      </c>
      <c r="M62" s="16"/>
      <c r="N62" s="15"/>
      <c r="O62" t="s">
        <v>356</v>
      </c>
    </row>
    <row r="63" spans="1:15" x14ac:dyDescent="0.25">
      <c r="A63" s="38"/>
      <c r="C63" t="s">
        <v>365</v>
      </c>
      <c r="D63" t="s">
        <v>98</v>
      </c>
      <c r="E63" s="18" t="s">
        <v>376</v>
      </c>
      <c r="F63" s="13" t="s">
        <v>378</v>
      </c>
      <c r="G63">
        <v>2</v>
      </c>
      <c r="I63" s="14">
        <v>0.29499999999999998</v>
      </c>
      <c r="J63" s="14">
        <v>0.2458333235647947</v>
      </c>
      <c r="K63" s="14">
        <f t="shared" si="2"/>
        <v>0.59</v>
      </c>
      <c r="L63" s="14">
        <f t="shared" si="3"/>
        <v>0.49166666666666664</v>
      </c>
      <c r="M63" s="16"/>
      <c r="N63" s="15"/>
      <c r="O63" t="s">
        <v>357</v>
      </c>
    </row>
    <row r="64" spans="1:15" x14ac:dyDescent="0.25">
      <c r="A64" s="38"/>
      <c r="C64" t="s">
        <v>366</v>
      </c>
      <c r="D64" t="s">
        <v>98</v>
      </c>
      <c r="E64" s="18" t="s">
        <v>379</v>
      </c>
      <c r="F64" s="13" t="s">
        <v>380</v>
      </c>
      <c r="G64">
        <v>32</v>
      </c>
      <c r="I64" s="14">
        <v>3.2000000000000001E-2</v>
      </c>
      <c r="J64" s="14">
        <v>2.6666665607028579E-2</v>
      </c>
      <c r="K64" s="14">
        <f t="shared" si="2"/>
        <v>1.024</v>
      </c>
      <c r="L64" s="14">
        <f t="shared" si="3"/>
        <v>0.85333333333333339</v>
      </c>
      <c r="M64" s="16"/>
      <c r="N64" s="15"/>
      <c r="O64" t="s">
        <v>358</v>
      </c>
    </row>
    <row r="65" spans="1:15" x14ac:dyDescent="0.25">
      <c r="A65" s="38"/>
      <c r="C65" t="s">
        <v>367</v>
      </c>
      <c r="D65" t="s">
        <v>98</v>
      </c>
      <c r="E65" s="18" t="s">
        <v>377</v>
      </c>
      <c r="F65" s="13" t="s">
        <v>381</v>
      </c>
      <c r="G65">
        <v>2</v>
      </c>
      <c r="I65" s="14">
        <v>9.5000000000000001E-2</v>
      </c>
      <c r="J65" s="14">
        <v>7.9166663520866098E-2</v>
      </c>
      <c r="K65" s="14">
        <f t="shared" si="2"/>
        <v>0.19</v>
      </c>
      <c r="L65" s="14">
        <f t="shared" si="3"/>
        <v>0.15833333333333335</v>
      </c>
      <c r="M65" s="16"/>
      <c r="N65" s="15"/>
      <c r="O65" t="s">
        <v>359</v>
      </c>
    </row>
    <row r="66" spans="1:15" x14ac:dyDescent="0.25">
      <c r="A66" s="38"/>
      <c r="C66" t="s">
        <v>368</v>
      </c>
      <c r="D66" t="s">
        <v>98</v>
      </c>
      <c r="E66" s="18" t="s">
        <v>383</v>
      </c>
      <c r="F66" s="13" t="s">
        <v>382</v>
      </c>
      <c r="G66">
        <v>2</v>
      </c>
      <c r="I66" s="14">
        <v>9.5000000000000001E-2</v>
      </c>
      <c r="J66" s="14">
        <v>7.9166663520866098E-2</v>
      </c>
      <c r="K66" s="14">
        <f t="shared" si="2"/>
        <v>0.19</v>
      </c>
      <c r="L66" s="14">
        <f t="shared" si="3"/>
        <v>0.15833333333333335</v>
      </c>
      <c r="M66" s="16"/>
      <c r="N66" s="15"/>
      <c r="O66" t="s">
        <v>360</v>
      </c>
    </row>
    <row r="67" spans="1:15" x14ac:dyDescent="0.25">
      <c r="A67" s="38"/>
      <c r="C67" t="s">
        <v>384</v>
      </c>
      <c r="D67" t="s">
        <v>98</v>
      </c>
      <c r="E67" s="18" t="s">
        <v>385</v>
      </c>
      <c r="F67" s="13" t="s">
        <v>386</v>
      </c>
      <c r="G67">
        <v>2</v>
      </c>
      <c r="I67" s="14">
        <v>9.5000000000000001E-2</v>
      </c>
      <c r="J67" s="14">
        <v>7.9166663520866098E-2</v>
      </c>
      <c r="K67" s="14">
        <f t="shared" si="2"/>
        <v>0.19</v>
      </c>
      <c r="L67" s="14">
        <f t="shared" si="3"/>
        <v>0.15833333333333335</v>
      </c>
      <c r="M67" s="16"/>
      <c r="N67" s="15"/>
      <c r="O67" t="s">
        <v>361</v>
      </c>
    </row>
    <row r="68" spans="1:15" x14ac:dyDescent="0.25">
      <c r="B68" s="25"/>
      <c r="C68" s="25"/>
      <c r="D68" s="25"/>
      <c r="E68" s="25"/>
      <c r="F68" s="25"/>
      <c r="G68" s="25"/>
      <c r="H68" s="25"/>
      <c r="I68" s="26"/>
      <c r="J68" s="26"/>
      <c r="K68" s="27">
        <f>SUBTOTAL(9, K4:K67)</f>
        <v>104.21739999999997</v>
      </c>
      <c r="L68" s="27">
        <f>SUBTOTAL(9, L4:L67)</f>
        <v>86.847833333333313</v>
      </c>
      <c r="M68" s="27"/>
      <c r="N68" s="28">
        <f>SUBTOTAL(9, N4:N67)</f>
        <v>0</v>
      </c>
      <c r="O68" s="29" t="s">
        <v>14</v>
      </c>
    </row>
    <row r="73" spans="1:15" ht="15" customHeight="1" x14ac:dyDescent="0.25">
      <c r="D73" s="11"/>
    </row>
    <row r="76" spans="1:15" x14ac:dyDescent="0.25">
      <c r="F76" s="7"/>
      <c r="I76" s="8"/>
      <c r="J76" s="8"/>
      <c r="K76" s="8"/>
      <c r="L76" s="8"/>
      <c r="M76" s="8"/>
      <c r="N76" s="8"/>
    </row>
    <row r="78" spans="1:15" x14ac:dyDescent="0.25">
      <c r="F78" s="7"/>
    </row>
    <row r="85" spans="7:8" x14ac:dyDescent="0.25">
      <c r="G85" s="9"/>
      <c r="H85" s="9"/>
    </row>
  </sheetData>
  <autoFilter ref="B3:O4" xr:uid="{00000000-0009-0000-0000-000000000000}"/>
  <mergeCells count="2">
    <mergeCell ref="A50:A59"/>
    <mergeCell ref="A60:A67"/>
  </mergeCells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6" r:id="rId25" xr:uid="{A9E02C94-FCEB-483F-B102-3BAF8F2F1623}"/>
    <hyperlink ref="F37" r:id="rId26" xr:uid="{2A900644-E3F6-44E8-BCE6-398C3A7E57F6}"/>
    <hyperlink ref="F40" r:id="rId27" xr:uid="{1BB1FBF2-1636-41D6-A40E-471A6810BCD6}"/>
    <hyperlink ref="F41" r:id="rId28" xr:uid="{F32410A4-963D-4FA9-B4C7-13F7DCCDD8E7}"/>
    <hyperlink ref="F43" r:id="rId29" xr:uid="{781E8B24-FF34-4D1A-8934-D1EE064CCD59}"/>
    <hyperlink ref="F44" r:id="rId30" xr:uid="{F96EFC9E-E63A-44CE-A7A5-B388C49E99DA}"/>
    <hyperlink ref="F45" r:id="rId31" xr:uid="{ADCA9265-8256-4D6C-9C82-F63F88AD97EC}"/>
    <hyperlink ref="F46" r:id="rId32" xr:uid="{01416C09-F4EC-4871-8B1F-0BB524B10342}"/>
    <hyperlink ref="F47" r:id="rId33" xr:uid="{B2BC05A3-FD8C-48EE-8860-6E5AADAA1B58}"/>
    <hyperlink ref="F48" r:id="rId34" xr:uid="{04185FB4-94E5-4A8C-A4EF-702D8C75F65A}"/>
    <hyperlink ref="F49" r:id="rId35" xr:uid="{885BDDC1-ACC7-4C4E-BB97-91A9C2AAFBB3}"/>
    <hyperlink ref="F51" r:id="rId36" xr:uid="{03F5C1F9-E9B6-4EEE-A359-D204961DAD50}"/>
    <hyperlink ref="F52" r:id="rId37" xr:uid="{717073FE-009D-476D-A083-755E4E313C6A}"/>
    <hyperlink ref="F53" r:id="rId38" xr:uid="{BB8FD0A5-B630-4337-8A9F-DC08FAF04980}"/>
    <hyperlink ref="F54" r:id="rId39" xr:uid="{9E5EC3F8-AF5E-4753-9A68-E92F88477D6E}"/>
    <hyperlink ref="F55" r:id="rId40" xr:uid="{F63FE4F0-9B0E-4887-9858-1C5386CB42B8}"/>
    <hyperlink ref="F56" r:id="rId41" xr:uid="{6DBC3530-31A6-4093-83AC-BF64FF5E9C73}"/>
    <hyperlink ref="F57" r:id="rId42" xr:uid="{FFE61682-66A2-4AC3-BC8E-476D97CA1314}"/>
    <hyperlink ref="F58" r:id="rId43" xr:uid="{6450549E-7937-4845-A2B9-C9AD215DA611}"/>
    <hyperlink ref="F59" r:id="rId44" xr:uid="{AA56D774-3B37-41B5-9120-4FFE7A216235}"/>
    <hyperlink ref="F60" r:id="rId45" xr:uid="{9536FC39-CF9E-4977-9996-AF03F60F584C}"/>
    <hyperlink ref="F61" r:id="rId46" xr:uid="{5A9FD584-7502-4955-9595-9B27F272C632}"/>
    <hyperlink ref="F62" r:id="rId47" xr:uid="{F3273299-C5DE-4477-B40A-0B548DD7F44A}"/>
    <hyperlink ref="F63" r:id="rId48" xr:uid="{81A4E355-9895-4290-B4C0-C91301055161}"/>
    <hyperlink ref="F64" r:id="rId49" xr:uid="{FC4A2DF4-44E9-4986-92C8-279367B399E4}"/>
    <hyperlink ref="F65" r:id="rId50" xr:uid="{B8502B9B-0E47-434B-963F-900D95C349DF}"/>
    <hyperlink ref="F66" r:id="rId51" xr:uid="{D9DBF7F0-B8D4-40A0-A724-3D21B2935ED8}"/>
    <hyperlink ref="F67" r:id="rId52" xr:uid="{29CF5003-22FC-46D7-9D15-3F86A067EC3A}"/>
    <hyperlink ref="F50" r:id="rId53" xr:uid="{0EF1C2D2-9582-4828-B0B4-BEAE9010CA2D}"/>
    <hyperlink ref="F38" r:id="rId54" xr:uid="{53D5CEBA-9105-4939-94AE-070B538F5A86}"/>
    <hyperlink ref="F33" r:id="rId55" display="https://www.mouser.at/ProductDetail/SparkFun/COM-15809?qs=wnTfsH77Xs4W6lzhkB8rzg%3D%3D" xr:uid="{BA0CD7FD-41C6-4F9B-A6E1-8E5C1A6165B6}"/>
  </hyperlinks>
  <pageMargins left="0.7" right="0.7" top="0.78740157499999996" bottom="0.78740157499999996" header="0.3" footer="0.3"/>
  <pageSetup paperSize="9" orientation="portrait" r:id="rId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42578125" defaultRowHeight="15" x14ac:dyDescent="0.25"/>
  <cols>
    <col min="2" max="2" width="26.7109375" bestFit="1" customWidth="1"/>
    <col min="3" max="3" width="44.85546875" bestFit="1" customWidth="1"/>
    <col min="4" max="4" width="22" style="20" bestFit="1" customWidth="1"/>
    <col min="5" max="5" width="55.7109375" bestFit="1" customWidth="1"/>
    <col min="6" max="6" width="11.85546875" bestFit="1" customWidth="1"/>
    <col min="7" max="7" width="71.85546875" bestFit="1" customWidth="1"/>
  </cols>
  <sheetData>
    <row r="1" spans="2:7" x14ac:dyDescent="0.25">
      <c r="D1"/>
    </row>
    <row r="2" spans="2:7" x14ac:dyDescent="0.25">
      <c r="D2"/>
    </row>
    <row r="3" spans="2:7" x14ac:dyDescent="0.2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2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2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2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2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2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2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2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2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2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2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2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2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2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2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2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2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2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2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2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2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2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2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2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2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2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2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2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2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2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2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2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2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2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2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2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2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2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2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2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2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2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2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2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2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17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2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2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2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2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2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2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25">
      <c r="D15" s="11"/>
    </row>
    <row r="18" spans="6:14" x14ac:dyDescent="0.25">
      <c r="F18" s="7"/>
      <c r="I18" s="8"/>
      <c r="J18" s="8"/>
      <c r="K18" s="8"/>
      <c r="L18" s="8"/>
      <c r="M18" s="8"/>
      <c r="N18" s="8"/>
    </row>
    <row r="20" spans="6:14" x14ac:dyDescent="0.25">
      <c r="F20" s="7"/>
    </row>
    <row r="27" spans="6:14" x14ac:dyDescent="0.2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42578125" defaultRowHeight="15" x14ac:dyDescent="0.25"/>
  <cols>
    <col min="2" max="2" width="6.5703125" bestFit="1" customWidth="1"/>
    <col min="3" max="3" width="14.5703125" bestFit="1" customWidth="1"/>
    <col min="4" max="4" width="65.28515625" bestFit="1" customWidth="1"/>
  </cols>
  <sheetData>
    <row r="3" spans="2:4" x14ac:dyDescent="0.25">
      <c r="B3" s="21" t="s">
        <v>163</v>
      </c>
      <c r="C3" s="1" t="s">
        <v>164</v>
      </c>
      <c r="D3" s="1" t="s">
        <v>15</v>
      </c>
    </row>
    <row r="4" spans="2:4" ht="30" x14ac:dyDescent="0.25">
      <c r="B4" s="22">
        <v>1</v>
      </c>
      <c r="C4" s="23" t="s">
        <v>0</v>
      </c>
      <c r="D4" s="24" t="s">
        <v>165</v>
      </c>
    </row>
    <row r="5" spans="2:4" x14ac:dyDescent="0.25">
      <c r="B5" s="22">
        <v>2</v>
      </c>
      <c r="C5" s="23" t="s">
        <v>1</v>
      </c>
      <c r="D5" s="23" t="s">
        <v>166</v>
      </c>
    </row>
    <row r="6" spans="2:4" x14ac:dyDescent="0.25">
      <c r="B6" s="22">
        <v>3</v>
      </c>
      <c r="C6" s="23" t="s">
        <v>2</v>
      </c>
      <c r="D6" s="23" t="s">
        <v>167</v>
      </c>
    </row>
    <row r="7" spans="2:4" x14ac:dyDescent="0.25">
      <c r="B7" s="22">
        <v>4</v>
      </c>
      <c r="C7" s="23" t="s">
        <v>3</v>
      </c>
      <c r="D7" s="23" t="s">
        <v>168</v>
      </c>
    </row>
    <row r="8" spans="2:4" x14ac:dyDescent="0.25">
      <c r="B8" s="22">
        <v>5</v>
      </c>
      <c r="C8" s="23" t="s">
        <v>4</v>
      </c>
      <c r="D8" s="23" t="s">
        <v>169</v>
      </c>
    </row>
    <row r="9" spans="2:4" x14ac:dyDescent="0.25">
      <c r="B9" s="22">
        <v>6</v>
      </c>
      <c r="C9" s="23" t="s">
        <v>5</v>
      </c>
      <c r="D9" s="23" t="s">
        <v>170</v>
      </c>
    </row>
    <row r="10" spans="2:4" x14ac:dyDescent="0.25">
      <c r="B10" s="22">
        <v>7</v>
      </c>
      <c r="C10" s="23" t="s">
        <v>6</v>
      </c>
      <c r="D10" s="23" t="s">
        <v>171</v>
      </c>
    </row>
    <row r="11" spans="2:4" ht="30" x14ac:dyDescent="0.25">
      <c r="B11" s="22">
        <v>8</v>
      </c>
      <c r="C11" s="23" t="s">
        <v>7</v>
      </c>
      <c r="D11" s="24" t="s">
        <v>172</v>
      </c>
    </row>
    <row r="12" spans="2:4" ht="30" x14ac:dyDescent="0.25">
      <c r="B12" s="22">
        <v>9</v>
      </c>
      <c r="C12" s="23" t="s">
        <v>8</v>
      </c>
      <c r="D12" s="24" t="s">
        <v>173</v>
      </c>
    </row>
    <row r="13" spans="2:4" x14ac:dyDescent="0.25">
      <c r="B13" s="22">
        <v>10</v>
      </c>
      <c r="C13" s="23" t="s">
        <v>9</v>
      </c>
      <c r="D13" s="23" t="s">
        <v>174</v>
      </c>
    </row>
    <row r="14" spans="2:4" x14ac:dyDescent="0.25">
      <c r="B14" s="22">
        <v>11</v>
      </c>
      <c r="C14" s="23" t="s">
        <v>10</v>
      </c>
      <c r="D14" s="23" t="s">
        <v>175</v>
      </c>
    </row>
    <row r="15" spans="2:4" x14ac:dyDescent="0.25">
      <c r="B15" s="22">
        <v>12</v>
      </c>
      <c r="C15" s="23" t="s">
        <v>11</v>
      </c>
      <c r="D15" s="23" t="s">
        <v>176</v>
      </c>
    </row>
    <row r="16" spans="2:4" ht="30" x14ac:dyDescent="0.25">
      <c r="B16" s="22">
        <v>13</v>
      </c>
      <c r="C16" s="23" t="s">
        <v>12</v>
      </c>
      <c r="D16" s="24" t="s">
        <v>177</v>
      </c>
    </row>
    <row r="17" spans="2:4" x14ac:dyDescent="0.2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3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2025-06-03T21:08:26Z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