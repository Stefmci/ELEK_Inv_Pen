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30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H:\04_Projekte\Vorlagen\"/>
    </mc:Choice>
  </mc:AlternateContent>
  <xr:revisionPtr revIDLastSave="0" documentId="11_3777B25FE0B75482C0EB10649EE3A36F0D1496EA" xr6:coauthVersionLast="47" xr6:coauthVersionMax="47" xr10:uidLastSave="{00000000-0000-0000-0000-000000000000}"/>
  <bookViews>
    <workbookView xWindow="0" yWindow="0" windowWidth="28800" windowHeight="14100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Bestellliste!$B$3:$O$4</definedName>
    <definedName name="_xlnm._FilterDatabase" localSheetId="1" hidden="1">'Übliche Händler'!$B$3:$G$47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" l="1"/>
  <c r="L4" i="3" s="1"/>
  <c r="K8" i="7"/>
  <c r="L8" i="7" s="1"/>
  <c r="N7" i="7"/>
  <c r="K7" i="7"/>
  <c r="L7" i="7" s="1"/>
  <c r="N6" i="7"/>
  <c r="N10" i="7" s="1"/>
  <c r="K6" i="7"/>
  <c r="L6" i="7" s="1"/>
  <c r="K5" i="7"/>
  <c r="K4" i="7"/>
  <c r="L4" i="7" s="1"/>
  <c r="K10" i="7" l="1"/>
  <c r="L5" i="7"/>
  <c r="L10" i="7" s="1"/>
  <c r="N6" i="3" l="1"/>
  <c r="K6" i="3"/>
  <c r="L6" i="3"/>
</calcChain>
</file>

<file path=xl/sharedStrings.xml><?xml version="1.0" encoding="utf-8"?>
<sst xmlns="http://schemas.openxmlformats.org/spreadsheetml/2006/main" count="328" uniqueCount="178">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</sst>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[$€-2]\ #,##0.00;[Red]\-[$€-2]\ #,##0.00"/>
    <numFmt numFmtId="165" formatCode="0.0\ &quot;kg&quot;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1" xfId="0" applyFont="1" applyBorder="1"/>
    <xf numFmtId="0" fontId="0" fillId="0" borderId="1" xfId="0" applyBorder="1"/>
    <xf numFmtId="44" fontId="0" fillId="0" borderId="0" xfId="1" applyFont="1"/>
    <xf numFmtId="44" fontId="0" fillId="0" borderId="1" xfId="1" applyFont="1" applyBorder="1"/>
    <xf numFmtId="44" fontId="2" fillId="0" borderId="0" xfId="1" applyFont="1"/>
    <xf numFmtId="0" fontId="3" fillId="0" borderId="1" xfId="2" applyBorder="1"/>
    <xf numFmtId="0" fontId="3" fillId="0" borderId="0" xfId="2" applyBorder="1"/>
    <xf numFmtId="44" fontId="0" fillId="0" borderId="0" xfId="1" applyFont="1" applyBorder="1"/>
    <xf numFmtId="164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4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5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O23"/>
  <sheetViews>
    <sheetView tabSelected="1" workbookViewId="0">
      <selection activeCell="J16" sqref="J16"/>
    </sheetView>
  </sheetViews>
  <sheetFormatPr defaultColWidth="11.42578125" defaultRowHeight="15"/>
  <cols>
    <col min="2" max="2" width="7.7109375" bestFit="1" customWidth="1"/>
    <col min="3" max="3" width="28.28515625" customWidth="1"/>
    <col min="4" max="4" width="13" customWidth="1"/>
    <col min="5" max="5" width="17" customWidth="1"/>
    <col min="6" max="6" width="28" customWidth="1"/>
    <col min="7" max="7" width="9.28515625" bestFit="1" customWidth="1"/>
    <col min="8" max="8" width="12.7109375" customWidth="1"/>
    <col min="9" max="9" width="15" bestFit="1" customWidth="1"/>
    <col min="10" max="10" width="14.5703125" bestFit="1" customWidth="1"/>
    <col min="11" max="11" width="12.85546875" bestFit="1" customWidth="1"/>
    <col min="12" max="12" width="12.42578125" bestFit="1" customWidth="1"/>
    <col min="13" max="13" width="8.5703125" customWidth="1"/>
    <col min="14" max="14" width="13.5703125" bestFit="1" customWidth="1"/>
    <col min="15" max="15" width="63.28515625" bestFit="1" customWidth="1"/>
  </cols>
  <sheetData>
    <row r="2" spans="2:15">
      <c r="G2" s="10"/>
      <c r="H2" s="10"/>
    </row>
    <row r="3" spans="2:1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>
      <c r="E4" s="18"/>
      <c r="F4" s="13"/>
      <c r="I4" s="14">
        <v>0</v>
      </c>
      <c r="J4" s="14">
        <v>0</v>
      </c>
      <c r="K4" s="14">
        <f t="shared" ref="K4" si="0">I4*G4*IF(ISBLANK(H4), 1, H4)</f>
        <v>0</v>
      </c>
      <c r="L4" s="14">
        <f t="shared" ref="L4" si="1">K4/1.2</f>
        <v>0</v>
      </c>
      <c r="M4" s="16"/>
      <c r="N4" s="15"/>
    </row>
    <row r="5" spans="2:15">
      <c r="B5" s="2"/>
      <c r="C5" s="2"/>
      <c r="D5" s="2"/>
      <c r="E5" s="2"/>
      <c r="F5" s="6"/>
      <c r="G5" s="2"/>
      <c r="H5" s="2"/>
      <c r="I5" s="4"/>
      <c r="J5" s="4"/>
      <c r="K5" s="4"/>
      <c r="L5" s="4"/>
      <c r="M5" s="12"/>
      <c r="N5" s="12"/>
      <c r="O5" s="2"/>
    </row>
    <row r="6" spans="2:15">
      <c r="I6" s="3"/>
      <c r="J6" s="3"/>
      <c r="K6" s="5">
        <f>SUBTOTAL(9, K4:K5)</f>
        <v>0</v>
      </c>
      <c r="L6" s="5">
        <f>SUBTOTAL(9, L4:L5)</f>
        <v>0</v>
      </c>
      <c r="M6" s="5"/>
      <c r="N6" s="17">
        <f>SUBTOTAL(9, N4:N5)</f>
        <v>0</v>
      </c>
      <c r="O6" s="10" t="s">
        <v>14</v>
      </c>
    </row>
    <row r="11" spans="2:15" ht="15" customHeight="1">
      <c r="D11" s="11"/>
    </row>
    <row r="14" spans="2:15">
      <c r="F14" s="7"/>
      <c r="I14" s="8"/>
      <c r="J14" s="8"/>
      <c r="K14" s="8"/>
      <c r="L14" s="8"/>
      <c r="M14" s="8"/>
      <c r="N14" s="8"/>
    </row>
    <row r="16" spans="2:15">
      <c r="F16" s="7"/>
    </row>
    <row r="23" spans="7:8">
      <c r="G23" s="9"/>
      <c r="H23" s="9"/>
    </row>
  </sheetData>
  <autoFilter ref="B3:O4" xr:uid="{00000000-0009-0000-0000-000000000000}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C43" sqref="C43"/>
    </sheetView>
  </sheetViews>
  <sheetFormatPr defaultColWidth="11.42578125" defaultRowHeight="15"/>
  <cols>
    <col min="2" max="2" width="26.7109375" bestFit="1" customWidth="1"/>
    <col min="3" max="3" width="44.85546875" bestFit="1" customWidth="1"/>
    <col min="4" max="4" width="22" style="20" bestFit="1" customWidth="1"/>
    <col min="5" max="5" width="55.7109375" bestFit="1" customWidth="1"/>
    <col min="6" max="6" width="11.85546875" bestFit="1" customWidth="1"/>
    <col min="7" max="7" width="71.85546875" bestFit="1" customWidth="1"/>
  </cols>
  <sheetData>
    <row r="1" spans="2:7">
      <c r="D1"/>
    </row>
    <row r="2" spans="2:7">
      <c r="D2"/>
    </row>
    <row r="3" spans="2:7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H32" sqref="H32"/>
    </sheetView>
  </sheetViews>
  <sheetFormatPr defaultColWidth="11.42578125" defaultRowHeight="15"/>
  <cols>
    <col min="2" max="2" width="7.7109375" bestFit="1" customWidth="1"/>
    <col min="3" max="3" width="28.28515625" customWidth="1"/>
    <col min="4" max="4" width="13" customWidth="1"/>
    <col min="5" max="5" width="17" customWidth="1"/>
    <col min="6" max="6" width="28" customWidth="1"/>
    <col min="7" max="7" width="9.28515625" bestFit="1" customWidth="1"/>
    <col min="8" max="8" width="12.7109375" customWidth="1"/>
    <col min="9" max="9" width="15" bestFit="1" customWidth="1"/>
    <col min="10" max="10" width="14.5703125" bestFit="1" customWidth="1"/>
    <col min="11" max="11" width="12.85546875" bestFit="1" customWidth="1"/>
    <col min="12" max="12" width="12.42578125" bestFit="1" customWidth="1"/>
    <col min="13" max="13" width="8.5703125" customWidth="1"/>
    <col min="14" max="14" width="13.5703125" bestFit="1" customWidth="1"/>
    <col min="15" max="15" width="63.28515625" bestFit="1" customWidth="1"/>
  </cols>
  <sheetData>
    <row r="2" spans="2:15">
      <c r="G2" s="10"/>
      <c r="H2" s="10"/>
    </row>
    <row r="3" spans="2:1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 t="shared" ref="L4:L8" si="1">K4/1.2</f>
        <v>39.980001588662468</v>
      </c>
      <c r="M4" s="16"/>
      <c r="N4" s="15"/>
    </row>
    <row r="5" spans="2:15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si="1"/>
        <v>3.7400001486142482</v>
      </c>
      <c r="M5" s="16"/>
      <c r="N5" s="15"/>
    </row>
    <row r="6" spans="2:15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>
      <c r="D15" s="11"/>
    </row>
    <row r="18" spans="6:14">
      <c r="F18" s="7"/>
      <c r="I18" s="8"/>
      <c r="J18" s="8"/>
      <c r="K18" s="8"/>
      <c r="L18" s="8"/>
      <c r="M18" s="8"/>
      <c r="N18" s="8"/>
    </row>
    <row r="20" spans="6:14">
      <c r="F20" s="7"/>
    </row>
    <row r="27" spans="6:14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4" sqref="D24"/>
    </sheetView>
  </sheetViews>
  <sheetFormatPr defaultColWidth="11.42578125" defaultRowHeight="15"/>
  <cols>
    <col min="2" max="2" width="6.5703125" bestFit="1" customWidth="1"/>
    <col min="3" max="3" width="14.5703125" bestFit="1" customWidth="1"/>
    <col min="4" max="4" width="65.28515625" bestFit="1" customWidth="1"/>
  </cols>
  <sheetData>
    <row r="3" spans="2:4">
      <c r="B3" s="21" t="s">
        <v>163</v>
      </c>
      <c r="C3" s="1" t="s">
        <v>164</v>
      </c>
      <c r="D3" s="1" t="s">
        <v>15</v>
      </c>
    </row>
    <row r="4" spans="2:4" ht="30">
      <c r="B4" s="22">
        <v>1</v>
      </c>
      <c r="C4" s="23" t="s">
        <v>0</v>
      </c>
      <c r="D4" s="24" t="s">
        <v>165</v>
      </c>
    </row>
    <row r="5" spans="2:4">
      <c r="B5" s="22">
        <v>2</v>
      </c>
      <c r="C5" s="23" t="s">
        <v>1</v>
      </c>
      <c r="D5" s="23" t="s">
        <v>166</v>
      </c>
    </row>
    <row r="6" spans="2:4">
      <c r="B6" s="22">
        <v>3</v>
      </c>
      <c r="C6" s="23" t="s">
        <v>2</v>
      </c>
      <c r="D6" s="23" t="s">
        <v>167</v>
      </c>
    </row>
    <row r="7" spans="2:4">
      <c r="B7" s="22">
        <v>4</v>
      </c>
      <c r="C7" s="23" t="s">
        <v>3</v>
      </c>
      <c r="D7" s="23" t="s">
        <v>168</v>
      </c>
    </row>
    <row r="8" spans="2:4">
      <c r="B8" s="22">
        <v>5</v>
      </c>
      <c r="C8" s="23" t="s">
        <v>4</v>
      </c>
      <c r="D8" s="23" t="s">
        <v>169</v>
      </c>
    </row>
    <row r="9" spans="2:4">
      <c r="B9" s="22">
        <v>6</v>
      </c>
      <c r="C9" s="23" t="s">
        <v>5</v>
      </c>
      <c r="D9" s="23" t="s">
        <v>170</v>
      </c>
    </row>
    <row r="10" spans="2:4">
      <c r="B10" s="22">
        <v>7</v>
      </c>
      <c r="C10" s="23" t="s">
        <v>6</v>
      </c>
      <c r="D10" s="23" t="s">
        <v>171</v>
      </c>
    </row>
    <row r="11" spans="2:4" ht="30">
      <c r="B11" s="22">
        <v>8</v>
      </c>
      <c r="C11" s="23" t="s">
        <v>7</v>
      </c>
      <c r="D11" s="24" t="s">
        <v>172</v>
      </c>
    </row>
    <row r="12" spans="2:4" ht="30">
      <c r="B12" s="22">
        <v>9</v>
      </c>
      <c r="C12" s="23" t="s">
        <v>8</v>
      </c>
      <c r="D12" s="24" t="s">
        <v>173</v>
      </c>
    </row>
    <row r="13" spans="2:4">
      <c r="B13" s="22">
        <v>10</v>
      </c>
      <c r="C13" s="23" t="s">
        <v>9</v>
      </c>
      <c r="D13" s="23" t="s">
        <v>174</v>
      </c>
    </row>
    <row r="14" spans="2:4">
      <c r="B14" s="22">
        <v>11</v>
      </c>
      <c r="C14" s="23" t="s">
        <v>10</v>
      </c>
      <c r="D14" s="23" t="s">
        <v>175</v>
      </c>
    </row>
    <row r="15" spans="2:4">
      <c r="B15" s="22">
        <v>12</v>
      </c>
      <c r="C15" s="23" t="s">
        <v>11</v>
      </c>
      <c r="D15" s="23" t="s">
        <v>176</v>
      </c>
    </row>
    <row r="16" spans="2:4" ht="30">
      <c r="B16" s="22">
        <v>13</v>
      </c>
      <c r="C16" s="23" t="s">
        <v>12</v>
      </c>
      <c r="D16" s="24" t="s">
        <v>177</v>
      </c>
    </row>
    <row r="17" spans="2:4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613FDB-B70B-4C9E-9156-3277845BBBD5}"/>
</file>

<file path=customXml/itemProps2.xml><?xml version="1.0" encoding="utf-8"?>
<ds:datastoreItem xmlns:ds="http://schemas.openxmlformats.org/officeDocument/2006/customXml" ds:itemID="{B8E207BC-8183-49DB-ABCB-60B6A04C1BFD}"/>
</file>

<file path=customXml/itemProps3.xml><?xml version="1.0" encoding="utf-8"?>
<ds:datastoreItem xmlns:ds="http://schemas.openxmlformats.org/officeDocument/2006/customXml" ds:itemID="{9F5DB395-6E8D-4CF1-BA8D-A17723EE305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Lukas Heiss</cp:lastModifiedBy>
  <cp:revision/>
  <dcterms:created xsi:type="dcterms:W3CDTF">2021-12-01T09:08:01Z</dcterms:created>
  <dcterms:modified xsi:type="dcterms:W3CDTF">2025-05-07T09:38:09Z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