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c616d471f04106/070_UNI/40_SS25/ELEKT/ELEK_Inv_Pen/Komponenten und Auslegung/"/>
    </mc:Choice>
  </mc:AlternateContent>
  <xr:revisionPtr revIDLastSave="2" documentId="13_ncr:1_{12FF9F2E-AB38-4E6E-8396-CC66151D87BC}" xr6:coauthVersionLast="47" xr6:coauthVersionMax="47" xr10:uidLastSave="{537E25FD-8518-4FD8-AC58-804C2335F457}"/>
  <bookViews>
    <workbookView minimized="1" xWindow="-11370" yWindow="7120" windowWidth="38660" windowHeight="11720" xr2:uid="{8387AABA-4531-477D-ACDD-FCEAA7839344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7" i="1"/>
  <c r="E96" i="1"/>
  <c r="E95" i="1"/>
  <c r="E94" i="1"/>
  <c r="E93" i="1"/>
  <c r="E92" i="1"/>
  <c r="E91" i="1"/>
  <c r="D99" i="1"/>
  <c r="E88" i="1"/>
  <c r="E87" i="1"/>
  <c r="E86" i="1"/>
  <c r="E85" i="1"/>
  <c r="E84" i="1"/>
  <c r="E83" i="1"/>
  <c r="E82" i="1"/>
  <c r="E81" i="1"/>
  <c r="E80" i="1"/>
  <c r="D89" i="1"/>
  <c r="E79" i="1"/>
  <c r="E89" i="1" l="1"/>
  <c r="E99" i="1"/>
</calcChain>
</file>

<file path=xl/sharedStrings.xml><?xml version="1.0" encoding="utf-8"?>
<sst xmlns="http://schemas.openxmlformats.org/spreadsheetml/2006/main" count="404" uniqueCount="274">
  <si>
    <t>Name</t>
  </si>
  <si>
    <t>Beschreibung</t>
  </si>
  <si>
    <t>Designator</t>
  </si>
  <si>
    <t>Menge</t>
  </si>
  <si>
    <t>Hersteller</t>
  </si>
  <si>
    <t>Hersteller Nummer</t>
  </si>
  <si>
    <t>C0603C100C5GACTU</t>
  </si>
  <si>
    <t>C1, C3</t>
  </si>
  <si>
    <t>KEMET</t>
  </si>
  <si>
    <t>08051C104KAT2A</t>
  </si>
  <si>
    <t>C2</t>
  </si>
  <si>
    <t>Kyocera AVX</t>
  </si>
  <si>
    <t>GRM21BR61C106KE15L</t>
  </si>
  <si>
    <t>C4</t>
  </si>
  <si>
    <t>Murata</t>
  </si>
  <si>
    <t>C0805C105K5RACTU</t>
  </si>
  <si>
    <t>C5, C6</t>
  </si>
  <si>
    <t>C0805C106K8PACTU</t>
  </si>
  <si>
    <t>C7</t>
  </si>
  <si>
    <t>C0805C104J8RACTU</t>
  </si>
  <si>
    <t>C8</t>
  </si>
  <si>
    <t>C0603C829C5GACTU</t>
  </si>
  <si>
    <t>C9</t>
  </si>
  <si>
    <t>CBR04C249B5GAC</t>
  </si>
  <si>
    <t>C10</t>
  </si>
  <si>
    <t>EEEFK1C470UR</t>
  </si>
  <si>
    <t>C11, C15, C29</t>
  </si>
  <si>
    <t>Panasonic</t>
  </si>
  <si>
    <t>EEE-FK1C470UR</t>
  </si>
  <si>
    <t>EEEFT1H221AP</t>
  </si>
  <si>
    <t>C12</t>
  </si>
  <si>
    <t>EEE-FT1H221AP</t>
  </si>
  <si>
    <t>Capacitor 100 nF +/-10% 50 V 0805</t>
  </si>
  <si>
    <t>C13, C14, C16, C17, C20, C21, C22, C23, C24, C27, C31, C32, C33, C35, C37, C38, C39, C40, C41, C42, C43, C44, C45, C46, C49, C50, C52, C53, C54, C55</t>
  </si>
  <si>
    <t>Yageo</t>
  </si>
  <si>
    <t>CC0805KRX7R9BB104</t>
  </si>
  <si>
    <t>0805ZD225KAT2A</t>
  </si>
  <si>
    <t>C18, C19</t>
  </si>
  <si>
    <t>08055A150JAT2A</t>
  </si>
  <si>
    <t>C25, C26</t>
  </si>
  <si>
    <t>EEEFK1H101P</t>
  </si>
  <si>
    <t>C28</t>
  </si>
  <si>
    <t>EEE-FK1H101P</t>
  </si>
  <si>
    <t>EEE-FK1H100UR</t>
  </si>
  <si>
    <t>C30</t>
  </si>
  <si>
    <t>EEE-FC1H220P</t>
  </si>
  <si>
    <t>C34</t>
  </si>
  <si>
    <t>C2012X5R1H475K125AB</t>
  </si>
  <si>
    <t>C36, C47, C48</t>
  </si>
  <si>
    <t>TDK</t>
  </si>
  <si>
    <t>C0805C270J5GACTU</t>
  </si>
  <si>
    <t>C56, C57</t>
  </si>
  <si>
    <t>SML-LX0404SIUPGUSB</t>
  </si>
  <si>
    <t>LED RGB CLEAR SMD</t>
  </si>
  <si>
    <t>D1</t>
  </si>
  <si>
    <t>Lumex</t>
  </si>
  <si>
    <t>SML-LXT0805IW-TR</t>
  </si>
  <si>
    <t>LED RED DIFFUSED SMD</t>
  </si>
  <si>
    <t>D2, D3</t>
  </si>
  <si>
    <t>SML-LXT0805GW-TR</t>
  </si>
  <si>
    <t>LED, GREEN, 565 nm, 2 V, -25 to 80 degC, 2-Pin SMD, RoHS, Tape and Reel</t>
  </si>
  <si>
    <t>DS1, DS2</t>
  </si>
  <si>
    <t>SMLLXT0805GWTR</t>
  </si>
  <si>
    <t>HZ0805E601R-10</t>
  </si>
  <si>
    <t>FERRITE BEAD 600 OHM 0805 1LN</t>
  </si>
  <si>
    <t>FB1, FB2</t>
  </si>
  <si>
    <t>Laird</t>
  </si>
  <si>
    <t>W25Q128JVSQ</t>
  </si>
  <si>
    <t>Integrated Circuit</t>
  </si>
  <si>
    <t>IC1</t>
  </si>
  <si>
    <t>ESP-01</t>
  </si>
  <si>
    <t>IC2</t>
  </si>
  <si>
    <t>STM32H7A3RIT6</t>
  </si>
  <si>
    <t>IC3</t>
  </si>
  <si>
    <t>J2, J7</t>
  </si>
  <si>
    <t>Wurth Electronics</t>
  </si>
  <si>
    <t>J3, J4, J5, J6, J8</t>
  </si>
  <si>
    <t>213083-0005</t>
  </si>
  <si>
    <t>CONN RCP USB2.0 TYP C 24P SMD RA</t>
  </si>
  <si>
    <t>J9</t>
  </si>
  <si>
    <t>Molex</t>
  </si>
  <si>
    <t>LQW18AN4N3C00D</t>
  </si>
  <si>
    <t>Wire Wound RF Inductor 4.3nH ±0.2nH 850mA 0.059Ω 0603 (1608)</t>
  </si>
  <si>
    <t>L1</t>
  </si>
  <si>
    <t>7447840015G</t>
  </si>
  <si>
    <t>7447840015G Multilayer Inductor, 1.5Nh, 0.3A, 0402 Rohs Compliant: Yes |Wurth Elektronik 7447840015G</t>
  </si>
  <si>
    <t>L2</t>
  </si>
  <si>
    <t>P1, P2, P3, P6, P7, P8, P9, P11, P12, P13</t>
  </si>
  <si>
    <t>P4, P5, P10, P14, P15</t>
  </si>
  <si>
    <t>BSS138</t>
  </si>
  <si>
    <t>MOSFET N-CH 50V 220MA SOT-23</t>
  </si>
  <si>
    <t>Q2, Q3, Q4, Q5</t>
  </si>
  <si>
    <t>ON Semiconductor / Fairchild</t>
  </si>
  <si>
    <t>TNPW0805499RBEEN</t>
  </si>
  <si>
    <t>R1</t>
  </si>
  <si>
    <t>Vishay Dale</t>
  </si>
  <si>
    <t>CRCW0805200RFKEA</t>
  </si>
  <si>
    <t>R2</t>
  </si>
  <si>
    <t>Vishay</t>
  </si>
  <si>
    <t>ERA-6AEB103V</t>
  </si>
  <si>
    <t>R3, R4, R6, R7, R16, R17, R22, R23, R30</t>
  </si>
  <si>
    <t>ERJ6ENF1202V</t>
  </si>
  <si>
    <t>R5</t>
  </si>
  <si>
    <t>ERJ-6ENF1202V</t>
  </si>
  <si>
    <t>RN73C2A12KBTG</t>
  </si>
  <si>
    <t>R8</t>
  </si>
  <si>
    <t>TE Connectivity</t>
  </si>
  <si>
    <t>ERA6AEB101V</t>
  </si>
  <si>
    <t>R9</t>
  </si>
  <si>
    <t>ERA-6AEB101V</t>
  </si>
  <si>
    <t>ERJ-6ENF24R9V</t>
  </si>
  <si>
    <t>R10</t>
  </si>
  <si>
    <t>CRCW080522R0FKEA</t>
  </si>
  <si>
    <t>R12</t>
  </si>
  <si>
    <t>ERJ-6ENF4990V</t>
  </si>
  <si>
    <t>R13</t>
  </si>
  <si>
    <t>ERA6AEB472V</t>
  </si>
  <si>
    <t>R18, R19, R24, R25</t>
  </si>
  <si>
    <t>ERA-6AEB472V</t>
  </si>
  <si>
    <t>ERA6AEB102V</t>
  </si>
  <si>
    <t>R20, R21, R26, R27</t>
  </si>
  <si>
    <t>ERA-6AEB102V</t>
  </si>
  <si>
    <t>CRCW080568R0FKEA</t>
  </si>
  <si>
    <t>R28, R29, R48, R54</t>
  </si>
  <si>
    <t>RC0805FR-0710KL</t>
  </si>
  <si>
    <t>R31, R36, R44, R49, R56, R57, R60</t>
  </si>
  <si>
    <t>ERA3AEB680V</t>
  </si>
  <si>
    <t>R32, R33, R34, R35</t>
  </si>
  <si>
    <t>ERA-3AEB680V</t>
  </si>
  <si>
    <t>CRCW08054K30FKEA</t>
  </si>
  <si>
    <t>R37</t>
  </si>
  <si>
    <t>RC0805FR-07470RL</t>
  </si>
  <si>
    <t>R38, R45</t>
  </si>
  <si>
    <t>RN73C2A5K11BTDF</t>
  </si>
  <si>
    <t>R39, R43</t>
  </si>
  <si>
    <t>RC0805JR-070RL</t>
  </si>
  <si>
    <t>R40, R41, R47</t>
  </si>
  <si>
    <t>CRCW08051K50FKEA</t>
  </si>
  <si>
    <t>R42</t>
  </si>
  <si>
    <t>RN73C2A100RBTDF</t>
  </si>
  <si>
    <t>R46, R50, R58, R61</t>
  </si>
  <si>
    <t>RC0805FR-0710RL</t>
  </si>
  <si>
    <t>R51, R52</t>
  </si>
  <si>
    <t>RC0805FR-071KL</t>
  </si>
  <si>
    <t>R53</t>
  </si>
  <si>
    <t>CRCW080512K0FKEA</t>
  </si>
  <si>
    <t>R55</t>
  </si>
  <si>
    <t>RC0805JR-072KL</t>
  </si>
  <si>
    <t>R59</t>
  </si>
  <si>
    <t>Resistor 0R +/- 5% 0805 125 mW</t>
  </si>
  <si>
    <t>R62</t>
  </si>
  <si>
    <t>PCM12SMTR</t>
  </si>
  <si>
    <t>SWITCH SLIDE SPDT 300MA 6V</t>
  </si>
  <si>
    <t>SW3, SW4</t>
  </si>
  <si>
    <t>ITT C&amp;K</t>
  </si>
  <si>
    <t>PTS645SM43SMTR92LFS</t>
  </si>
  <si>
    <t>SWITCH TACTILE SPST-NO 0.05A 12V</t>
  </si>
  <si>
    <t>SW5, SW6, SW7, SW8</t>
  </si>
  <si>
    <t>Component_1</t>
  </si>
  <si>
    <t>U</t>
  </si>
  <si>
    <t>ESP8266EX</t>
  </si>
  <si>
    <t>Low-Power, Highly-Integrated Wi-Fi Solution, 2.5 to 3.6 V, 80 mA, -40 to 125 degC, 32-Pin QFN</t>
  </si>
  <si>
    <t>U1</t>
  </si>
  <si>
    <t>Espressif Systems</t>
  </si>
  <si>
    <t>TSR 1-2433</t>
  </si>
  <si>
    <t>U2</t>
  </si>
  <si>
    <t>Traco Power</t>
  </si>
  <si>
    <t>TSR1-2433</t>
  </si>
  <si>
    <t>TSR 1-2450</t>
  </si>
  <si>
    <t>DC/DC converter, 5 VDC, 1000 mA, -40 to 85 degC, 3-Pin SIP, RoHS</t>
  </si>
  <si>
    <t>U3</t>
  </si>
  <si>
    <t>TSR1-2450</t>
  </si>
  <si>
    <t>LSM6DSOXTR</t>
  </si>
  <si>
    <t>INEMO INERTIAL MODULE: 3D ACCELE</t>
  </si>
  <si>
    <t>U4</t>
  </si>
  <si>
    <t>STMicroelectronics</t>
  </si>
  <si>
    <t>TSRN 1-2433SM</t>
  </si>
  <si>
    <t>TSRN 1-2433SM Non Isolated Board Mount Dc/dc Converter, Surface Mount Dip, 5.5 W, 1.5 V, 5.5 V, 1 A, 4.6 V Rohs Compliant: Yes</t>
  </si>
  <si>
    <t>U5</t>
  </si>
  <si>
    <t>TSRN1-2433SM</t>
  </si>
  <si>
    <t>TS5A23157DGSR</t>
  </si>
  <si>
    <t>IC SWITCH DUAL SPDT 10MSOP</t>
  </si>
  <si>
    <t>U6</t>
  </si>
  <si>
    <t>Texas Instruments</t>
  </si>
  <si>
    <t>TPS2113APW</t>
  </si>
  <si>
    <t>Dual In / Single Out Autoswitching Power Mux, 2.8 to 5.5 V, -40 to 85 degC, 8-pin TSSOP (PW), Green (RoHS &amp; no Sb/Br)</t>
  </si>
  <si>
    <t>U7</t>
  </si>
  <si>
    <t>TPD2EUSB30DRTR</t>
  </si>
  <si>
    <t>ESD Solution for Super-Speed (6 Gbps) USB 3.0 Interface, 2 Channels, -40 to +85 degC, 3-pin SOT (DRT), Green (Rohs &amp; No Sb/Br)</t>
  </si>
  <si>
    <t>U8</t>
  </si>
  <si>
    <t>FT2232HL-Reel</t>
  </si>
  <si>
    <t>Dual High Speed USB To Multipurpose UART/FIFO IC, 64-pin LQFP, Tape and Reel</t>
  </si>
  <si>
    <t>U9</t>
  </si>
  <si>
    <t>FTDI</t>
  </si>
  <si>
    <t>FT2232HL-REEL</t>
  </si>
  <si>
    <t>SN74LVC14AD</t>
  </si>
  <si>
    <t>IC INVERTER SCHMITT 6CH 14SOIC</t>
  </si>
  <si>
    <t>U10</t>
  </si>
  <si>
    <t>93LC56BT-I/OT</t>
  </si>
  <si>
    <t>IC EEPROM 2K SPI 2MHZ SOT23-6</t>
  </si>
  <si>
    <t>U11</t>
  </si>
  <si>
    <t>Microchip</t>
  </si>
  <si>
    <t>ABM8-26.000MHZ-10-1-U-T</t>
  </si>
  <si>
    <t>Crystal 26MHz ±10ppm 10pF SMD-4 3.2mm x 2.5mm</t>
  </si>
  <si>
    <t>Y1</t>
  </si>
  <si>
    <t>Abracon</t>
  </si>
  <si>
    <t>ABM8AIG-24.000MHZ-12-2Z-T3</t>
  </si>
  <si>
    <t>Crystal 24MHz ±20ppm (Tol) ±50ppm (Stability) 12pF FUND 50Ω Automotive 4-Pin Ultra Mini-CSMD T/R</t>
  </si>
  <si>
    <t>Y2</t>
  </si>
  <si>
    <t>Crystal or Oscillator</t>
  </si>
  <si>
    <t>Y3</t>
  </si>
  <si>
    <t>?</t>
  </si>
  <si>
    <t>12k Ohm 0805 1% Tol.</t>
  </si>
  <si>
    <t xml:space="preserve">499 Ohm 0805 0.1% Tol. </t>
  </si>
  <si>
    <t>200 Ohm 0805 1% Tol.</t>
  </si>
  <si>
    <t>10k Ohm 0805 0.1% Tol.</t>
  </si>
  <si>
    <t>12k Ohm 0805 0.1% Tol.</t>
  </si>
  <si>
    <t>100 Ohm 0805 0.1% Tol.</t>
  </si>
  <si>
    <t xml:space="preserve">24.9 Ohm 0805 1% Tol. </t>
  </si>
  <si>
    <t>22 Ohm 0805 1% Tol.</t>
  </si>
  <si>
    <t>499 Ohm 0805 1% Tol.</t>
  </si>
  <si>
    <t>4.7k Ohm 0805 0.1% Tol.</t>
  </si>
  <si>
    <t>1k Ohm 0805 0.1% Tol.</t>
  </si>
  <si>
    <t>68 Ohm 0805 1% Tol.</t>
  </si>
  <si>
    <t>10k Ohm 0805 1% Tol.</t>
  </si>
  <si>
    <t>68 Ohm 0603 0.1% Tol.</t>
  </si>
  <si>
    <t>4.3k Ohm 0805 1% Tol.</t>
  </si>
  <si>
    <t>470 Ohm 0805 1% Tol.</t>
  </si>
  <si>
    <t>5.11k Ohm 0805 0.1% Tol.</t>
  </si>
  <si>
    <t>0 Ohm 0805</t>
  </si>
  <si>
    <t>1.5k Ohm 0805 1% Tol.</t>
  </si>
  <si>
    <t>10 Ohm 0805 1% Tol.</t>
  </si>
  <si>
    <t>1k Ohm 0805 1% Tol.</t>
  </si>
  <si>
    <t>2k Ohm 0805 5% Tol.</t>
  </si>
  <si>
    <t>ABLS2-12.000MHZ-B4Y-T</t>
  </si>
  <si>
    <t>100nF 100V 0805 KerKo</t>
  </si>
  <si>
    <t>10pF 50V 0603 KerKo</t>
  </si>
  <si>
    <t>10µF 16V 0805 KerKo</t>
  </si>
  <si>
    <t>1µF 50V 0805 KerKo</t>
  </si>
  <si>
    <t>10µF 10V 0805 KerKo</t>
  </si>
  <si>
    <t>100nF 10V 0805 KerKo</t>
  </si>
  <si>
    <t>8.2pF 50V 0603 KerKo</t>
  </si>
  <si>
    <t>2.4pF 50V 0402 KerKo</t>
  </si>
  <si>
    <t>47µF 16V Al ELCO</t>
  </si>
  <si>
    <t>220µF 50V Al ELCO</t>
  </si>
  <si>
    <t>100nF 50V 0805 KerKo</t>
  </si>
  <si>
    <t>2.2µF 10V 0805 KerKo</t>
  </si>
  <si>
    <t>15pF 50V 0805 KerKo</t>
  </si>
  <si>
    <t>100µF 50V Al ELCO</t>
  </si>
  <si>
    <t>10µF 50V Al ELCO</t>
  </si>
  <si>
    <t>22µF 50V Al ELCO</t>
  </si>
  <si>
    <t>4.7µF 50V 0805 KerKo</t>
  </si>
  <si>
    <t>27pF 50V 0805 KerKo</t>
  </si>
  <si>
    <t>ausgetauscht zu 0805</t>
  </si>
  <si>
    <t>E12-Widerstände 0805 (Summen):</t>
  </si>
  <si>
    <t>10k Ohm</t>
  </si>
  <si>
    <t>12k Ohm</t>
  </si>
  <si>
    <t>100 Ohm</t>
  </si>
  <si>
    <t>22 Ohm</t>
  </si>
  <si>
    <t>4.7k Ohm</t>
  </si>
  <si>
    <t>1k Ohm</t>
  </si>
  <si>
    <t>68 Ohm</t>
  </si>
  <si>
    <t>470 Ohm</t>
  </si>
  <si>
    <t>1.5k Ohm</t>
  </si>
  <si>
    <t>10 Ohm</t>
  </si>
  <si>
    <t>2 Stk. Bestellt</t>
  </si>
  <si>
    <t>ausgetauscht zu Max's Type</t>
  </si>
  <si>
    <t>E12-KerKo 0805 (Summen):</t>
  </si>
  <si>
    <t>GRM21BR61H106KE43L</t>
  </si>
  <si>
    <t>10µF 50V 0805 KerKo</t>
  </si>
  <si>
    <t>CGA4J3X7R1H225K125AE</t>
  </si>
  <si>
    <t>2.2µF 50V 0805 KerKo</t>
  </si>
  <si>
    <t>08055A100JAT2A</t>
  </si>
  <si>
    <t>ausgetauscht zu 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</si>
</sst>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2" fillId="0" borderId="0" xfId="0" applyFont="1"/>
    <xf numFmtId="0" fontId="0" fillId="9" borderId="0" xfId="0" applyFill="1"/>
    <xf numFmtId="0" fontId="0" fillId="10" borderId="0" xfId="0" applyFill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11" borderId="0" xfId="0" applyFill="1"/>
    <xf numFmtId="0" fontId="0" fillId="12" borderId="0" xfId="0" applyFill="1"/>
    <xf numFmtId="0" fontId="0" fillId="9" borderId="3" xfId="0" applyFill="1" applyBorder="1"/>
    <xf numFmtId="0" fontId="0" fillId="9" borderId="4" xfId="0" applyFill="1" applyBorder="1"/>
    <xf numFmtId="0" fontId="0" fillId="9" borderId="6" xfId="0" applyFill="1" applyBorder="1"/>
    <xf numFmtId="0" fontId="0" fillId="9" borderId="8" xfId="0" applyFill="1" applyBorder="1"/>
    <xf numFmtId="0" fontId="0" fillId="9" borderId="9" xfId="0" applyFill="1" applyBorder="1"/>
  </cellXfs>
  <cellStyles count="19">
    <cellStyle name="Accent" xfId="2" xr:uid="{819DBE85-DA9A-4F79-B9D1-078F5DE950E2}"/>
    <cellStyle name="Accent 1" xfId="3" xr:uid="{BA5EF4D1-E51A-42C3-B9E4-E6CB6CE780BB}"/>
    <cellStyle name="Accent 2" xfId="4" xr:uid="{00F33C21-D704-4A07-8DD9-9F04295630E0}"/>
    <cellStyle name="Accent 3" xfId="5" xr:uid="{64F3E18C-336D-4C40-9F5C-D941EB970173}"/>
    <cellStyle name="Bad" xfId="6" xr:uid="{974344A3-1B3A-4E51-8403-91CD86B047BF}"/>
    <cellStyle name="Error" xfId="7" xr:uid="{0BD6CFF1-363C-468A-9486-D046BCE74C90}"/>
    <cellStyle name="Footnote" xfId="8" xr:uid="{4012B036-63C8-4600-B1A6-533F93ADB21C}"/>
    <cellStyle name="Good" xfId="9" xr:uid="{6FFB8A7C-48BA-4555-9C85-F3EBAF04987F}"/>
    <cellStyle name="Heading" xfId="10" xr:uid="{9150999D-B697-4B17-B1B3-9A0E5FD4B036}"/>
    <cellStyle name="Heading 1" xfId="11" xr:uid="{46F48EAE-F67B-4329-8666-0EB3C33C4880}"/>
    <cellStyle name="Heading 2" xfId="12" xr:uid="{02C3B9A5-298A-45E6-AA66-04E272CA2B1A}"/>
    <cellStyle name="Hyperlink" xfId="13" xr:uid="{5ADE9785-8449-4216-A47F-4FF020A8FC83}"/>
    <cellStyle name="Neutral" xfId="1" builtinId="28" customBuiltin="1"/>
    <cellStyle name="Note" xfId="14" xr:uid="{3B8EE970-A33C-433F-8D34-DF50D7CA09EA}"/>
    <cellStyle name="Result" xfId="15" xr:uid="{58651CD3-3948-468F-B9B9-7693C61E79E4}"/>
    <cellStyle name="Standard" xfId="0" builtinId="0" customBuiltin="1"/>
    <cellStyle name="Status" xfId="16" xr:uid="{60A590C5-424F-4546-83AB-579007E21BC3}"/>
    <cellStyle name="Text" xfId="17" xr:uid="{15441291-8F5D-4D65-AD63-28D4E3E4BD9E}"/>
    <cellStyle name="Warning" xfId="18" xr:uid="{B0DE08D8-634D-4B5D-9C11-3929631DA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7A8D-C0E2-4C54-B251-D7A20DB38A6B}">
  <dimension ref="A1:G99"/>
  <sheetViews>
    <sheetView tabSelected="1" zoomScaleNormal="100" workbookViewId="0">
      <selection activeCell="C27" sqref="C27"/>
    </sheetView>
  </sheetViews>
  <sheetFormatPr baseColWidth="10" defaultRowHeight="12.5"/>
  <cols>
    <col min="1" max="1" width="29" bestFit="1" customWidth="1"/>
    <col min="2" max="2" width="29.453125" customWidth="1"/>
    <col min="3" max="3" width="105.1796875" customWidth="1"/>
    <col min="4" max="6" width="11.453125" customWidth="1"/>
    <col min="7" max="7" width="26.7265625" customWidth="1"/>
  </cols>
  <sheetData>
    <row r="1" spans="1:7" ht="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 t="s">
        <v>253</v>
      </c>
      <c r="B2" s="7" t="s">
        <v>6</v>
      </c>
      <c r="C2" s="7" t="s">
        <v>236</v>
      </c>
      <c r="D2" s="7" t="s">
        <v>7</v>
      </c>
      <c r="E2" s="7">
        <v>2</v>
      </c>
      <c r="F2" s="7" t="s">
        <v>8</v>
      </c>
      <c r="G2" s="7" t="s">
        <v>6</v>
      </c>
    </row>
    <row r="3" spans="1:7">
      <c r="B3" s="7" t="s">
        <v>9</v>
      </c>
      <c r="C3" s="7" t="s">
        <v>235</v>
      </c>
      <c r="D3" s="7" t="s">
        <v>10</v>
      </c>
      <c r="E3" s="7">
        <v>1</v>
      </c>
      <c r="F3" s="7" t="s">
        <v>11</v>
      </c>
      <c r="G3" s="7" t="s">
        <v>9</v>
      </c>
    </row>
    <row r="4" spans="1:7">
      <c r="B4" s="7" t="s">
        <v>12</v>
      </c>
      <c r="C4" s="7" t="s">
        <v>237</v>
      </c>
      <c r="D4" s="7" t="s">
        <v>13</v>
      </c>
      <c r="E4" s="7">
        <v>1</v>
      </c>
      <c r="F4" s="7" t="s">
        <v>14</v>
      </c>
      <c r="G4" s="7" t="s">
        <v>12</v>
      </c>
    </row>
    <row r="5" spans="1:7">
      <c r="B5" s="7" t="s">
        <v>15</v>
      </c>
      <c r="C5" s="7" t="s">
        <v>238</v>
      </c>
      <c r="D5" s="7" t="s">
        <v>16</v>
      </c>
      <c r="E5" s="7">
        <v>2</v>
      </c>
      <c r="F5" s="7" t="s">
        <v>8</v>
      </c>
      <c r="G5" s="7" t="s">
        <v>15</v>
      </c>
    </row>
    <row r="6" spans="1:7">
      <c r="B6" s="7" t="s">
        <v>17</v>
      </c>
      <c r="C6" s="7" t="s">
        <v>239</v>
      </c>
      <c r="D6" s="7" t="s">
        <v>18</v>
      </c>
      <c r="E6" s="7">
        <v>1</v>
      </c>
      <c r="F6" s="7" t="s">
        <v>8</v>
      </c>
      <c r="G6" s="7" t="s">
        <v>17</v>
      </c>
    </row>
    <row r="7" spans="1:7">
      <c r="B7" s="7" t="s">
        <v>19</v>
      </c>
      <c r="C7" s="7" t="s">
        <v>240</v>
      </c>
      <c r="D7" s="7" t="s">
        <v>20</v>
      </c>
      <c r="E7" s="7">
        <v>1</v>
      </c>
      <c r="F7" s="7" t="s">
        <v>8</v>
      </c>
      <c r="G7" s="7" t="s">
        <v>19</v>
      </c>
    </row>
    <row r="8" spans="1:7">
      <c r="B8" s="2" t="s">
        <v>21</v>
      </c>
      <c r="C8" s="2" t="s">
        <v>241</v>
      </c>
      <c r="D8" s="2" t="s">
        <v>22</v>
      </c>
      <c r="E8" s="2">
        <v>1</v>
      </c>
      <c r="F8" s="2" t="s">
        <v>8</v>
      </c>
      <c r="G8" s="2" t="s">
        <v>21</v>
      </c>
    </row>
    <row r="9" spans="1:7">
      <c r="B9" s="2" t="s">
        <v>23</v>
      </c>
      <c r="C9" s="2" t="s">
        <v>242</v>
      </c>
      <c r="D9" s="2" t="s">
        <v>24</v>
      </c>
      <c r="E9" s="2">
        <v>1</v>
      </c>
      <c r="F9" s="2" t="s">
        <v>8</v>
      </c>
      <c r="G9" s="2" t="s">
        <v>23</v>
      </c>
    </row>
    <row r="10" spans="1:7">
      <c r="A10" s="3" t="s">
        <v>273</v>
      </c>
      <c r="B10" s="2" t="s">
        <v>25</v>
      </c>
      <c r="C10" s="2" t="s">
        <v>243</v>
      </c>
      <c r="D10" s="2" t="s">
        <v>26</v>
      </c>
      <c r="E10" s="2">
        <v>3</v>
      </c>
      <c r="F10" s="2" t="s">
        <v>27</v>
      </c>
      <c r="G10" s="2" t="s">
        <v>28</v>
      </c>
    </row>
    <row r="11" spans="1:7">
      <c r="B11" s="2" t="s">
        <v>29</v>
      </c>
      <c r="C11" s="2" t="s">
        <v>244</v>
      </c>
      <c r="D11" s="2" t="s">
        <v>30</v>
      </c>
      <c r="E11" s="2">
        <v>1</v>
      </c>
      <c r="F11" s="2" t="s">
        <v>27</v>
      </c>
      <c r="G11" s="2" t="s">
        <v>31</v>
      </c>
    </row>
    <row r="12" spans="1:7">
      <c r="B12" s="7" t="s">
        <v>32</v>
      </c>
      <c r="C12" s="7" t="s">
        <v>245</v>
      </c>
      <c r="D12" s="7" t="s">
        <v>33</v>
      </c>
      <c r="E12" s="7">
        <v>30</v>
      </c>
      <c r="F12" s="7" t="s">
        <v>34</v>
      </c>
      <c r="G12" s="7" t="s">
        <v>35</v>
      </c>
    </row>
    <row r="13" spans="1:7">
      <c r="B13" s="7" t="s">
        <v>36</v>
      </c>
      <c r="C13" s="7" t="s">
        <v>246</v>
      </c>
      <c r="D13" s="7" t="s">
        <v>37</v>
      </c>
      <c r="E13" s="7">
        <v>2</v>
      </c>
      <c r="F13" s="7" t="s">
        <v>11</v>
      </c>
      <c r="G13" s="7" t="s">
        <v>36</v>
      </c>
    </row>
    <row r="14" spans="1:7">
      <c r="B14" s="7" t="s">
        <v>38</v>
      </c>
      <c r="C14" s="7" t="s">
        <v>247</v>
      </c>
      <c r="D14" s="7" t="s">
        <v>39</v>
      </c>
      <c r="E14" s="7">
        <v>2</v>
      </c>
      <c r="F14" s="7" t="s">
        <v>11</v>
      </c>
      <c r="G14" s="7" t="s">
        <v>38</v>
      </c>
    </row>
    <row r="15" spans="1:7">
      <c r="B15" s="2" t="s">
        <v>40</v>
      </c>
      <c r="C15" s="2" t="s">
        <v>248</v>
      </c>
      <c r="D15" s="2" t="s">
        <v>41</v>
      </c>
      <c r="E15" s="2">
        <v>1</v>
      </c>
      <c r="F15" s="2" t="s">
        <v>27</v>
      </c>
      <c r="G15" s="2" t="s">
        <v>42</v>
      </c>
    </row>
    <row r="16" spans="1:7">
      <c r="B16" s="2" t="s">
        <v>43</v>
      </c>
      <c r="C16" s="2" t="s">
        <v>249</v>
      </c>
      <c r="D16" s="2" t="s">
        <v>44</v>
      </c>
      <c r="E16" s="2">
        <v>1</v>
      </c>
      <c r="F16" s="2" t="s">
        <v>27</v>
      </c>
      <c r="G16" s="2" t="s">
        <v>43</v>
      </c>
    </row>
    <row r="17" spans="1:7">
      <c r="B17" s="2" t="s">
        <v>45</v>
      </c>
      <c r="C17" s="2" t="s">
        <v>250</v>
      </c>
      <c r="D17" s="2" t="s">
        <v>46</v>
      </c>
      <c r="E17" s="2">
        <v>1</v>
      </c>
      <c r="F17" s="2" t="s">
        <v>27</v>
      </c>
      <c r="G17" s="2" t="s">
        <v>45</v>
      </c>
    </row>
    <row r="18" spans="1:7">
      <c r="B18" s="7" t="s">
        <v>47</v>
      </c>
      <c r="C18" s="7" t="s">
        <v>251</v>
      </c>
      <c r="D18" s="7" t="s">
        <v>48</v>
      </c>
      <c r="E18" s="7">
        <v>3</v>
      </c>
      <c r="F18" s="7" t="s">
        <v>49</v>
      </c>
      <c r="G18" s="7" t="s">
        <v>47</v>
      </c>
    </row>
    <row r="19" spans="1:7">
      <c r="B19" s="7" t="s">
        <v>50</v>
      </c>
      <c r="C19" s="7" t="s">
        <v>252</v>
      </c>
      <c r="D19" s="7" t="s">
        <v>51</v>
      </c>
      <c r="E19" s="7">
        <v>2</v>
      </c>
      <c r="F19" s="7" t="s">
        <v>8</v>
      </c>
      <c r="G19" s="7" t="s">
        <v>50</v>
      </c>
    </row>
    <row r="20" spans="1:7">
      <c r="B20" s="2" t="s">
        <v>52</v>
      </c>
      <c r="C20" s="2" t="s">
        <v>53</v>
      </c>
      <c r="D20" s="2" t="s">
        <v>54</v>
      </c>
      <c r="E20" s="2">
        <v>1</v>
      </c>
      <c r="F20" s="2" t="s">
        <v>55</v>
      </c>
      <c r="G20" s="2" t="s">
        <v>52</v>
      </c>
    </row>
    <row r="21" spans="1:7">
      <c r="B21" s="2" t="s">
        <v>56</v>
      </c>
      <c r="C21" s="2" t="s">
        <v>57</v>
      </c>
      <c r="D21" s="2" t="s">
        <v>58</v>
      </c>
      <c r="E21" s="2">
        <v>2</v>
      </c>
      <c r="F21" s="2" t="s">
        <v>55</v>
      </c>
      <c r="G21" s="2" t="s">
        <v>56</v>
      </c>
    </row>
    <row r="22" spans="1:7">
      <c r="B22" s="2" t="s">
        <v>59</v>
      </c>
      <c r="C22" s="2" t="s">
        <v>60</v>
      </c>
      <c r="D22" s="2" t="s">
        <v>61</v>
      </c>
      <c r="E22" s="2">
        <v>2</v>
      </c>
      <c r="F22" s="2" t="s">
        <v>55</v>
      </c>
      <c r="G22" s="2" t="s">
        <v>62</v>
      </c>
    </row>
    <row r="23" spans="1:7">
      <c r="B23" s="2" t="s">
        <v>63</v>
      </c>
      <c r="C23" s="2" t="s">
        <v>64</v>
      </c>
      <c r="D23" s="2" t="s">
        <v>65</v>
      </c>
      <c r="E23" s="2">
        <v>2</v>
      </c>
      <c r="F23" s="2" t="s">
        <v>66</v>
      </c>
      <c r="G23" s="2" t="s">
        <v>63</v>
      </c>
    </row>
    <row r="24" spans="1:7">
      <c r="A24" s="8" t="s">
        <v>211</v>
      </c>
      <c r="B24" s="8" t="s">
        <v>67</v>
      </c>
      <c r="C24" s="8" t="s">
        <v>68</v>
      </c>
      <c r="D24" s="8" t="s">
        <v>69</v>
      </c>
      <c r="E24" s="8">
        <v>1</v>
      </c>
      <c r="F24" s="8"/>
      <c r="G24" s="8"/>
    </row>
    <row r="25" spans="1:7">
      <c r="A25" s="8" t="s">
        <v>211</v>
      </c>
      <c r="B25" s="8" t="s">
        <v>70</v>
      </c>
      <c r="C25" s="8" t="s">
        <v>68</v>
      </c>
      <c r="D25" s="8" t="s">
        <v>71</v>
      </c>
      <c r="E25" s="8">
        <v>1</v>
      </c>
      <c r="F25" s="8"/>
      <c r="G25" s="8"/>
    </row>
    <row r="26" spans="1:7">
      <c r="B26" s="2" t="s">
        <v>72</v>
      </c>
      <c r="C26" s="2" t="s">
        <v>68</v>
      </c>
      <c r="D26" s="2" t="s">
        <v>73</v>
      </c>
      <c r="E26" s="2">
        <v>1</v>
      </c>
      <c r="F26" s="2"/>
      <c r="G26" s="2"/>
    </row>
    <row r="27" spans="1:7">
      <c r="B27" s="2">
        <v>691210910004</v>
      </c>
      <c r="C27" s="2"/>
      <c r="D27" s="2" t="s">
        <v>74</v>
      </c>
      <c r="E27" s="2">
        <v>2</v>
      </c>
      <c r="F27" s="2" t="s">
        <v>75</v>
      </c>
      <c r="G27" s="2">
        <v>691210910004</v>
      </c>
    </row>
    <row r="28" spans="1:7">
      <c r="B28" s="2">
        <v>691214110002</v>
      </c>
      <c r="C28" s="2"/>
      <c r="D28" s="2" t="s">
        <v>76</v>
      </c>
      <c r="E28" s="2">
        <v>5</v>
      </c>
      <c r="F28" s="2" t="s">
        <v>75</v>
      </c>
      <c r="G28" s="2">
        <v>691214110002</v>
      </c>
    </row>
    <row r="29" spans="1:7">
      <c r="B29" s="2" t="s">
        <v>77</v>
      </c>
      <c r="C29" s="2" t="s">
        <v>78</v>
      </c>
      <c r="D29" s="2" t="s">
        <v>79</v>
      </c>
      <c r="E29" s="2">
        <v>1</v>
      </c>
      <c r="F29" s="2" t="s">
        <v>80</v>
      </c>
      <c r="G29" s="2" t="s">
        <v>77</v>
      </c>
    </row>
    <row r="30" spans="1:7">
      <c r="B30" s="2" t="s">
        <v>81</v>
      </c>
      <c r="C30" s="2" t="s">
        <v>82</v>
      </c>
      <c r="D30" s="2" t="s">
        <v>83</v>
      </c>
      <c r="E30" s="2">
        <v>1</v>
      </c>
      <c r="F30" s="2" t="s">
        <v>14</v>
      </c>
      <c r="G30" s="2" t="s">
        <v>81</v>
      </c>
    </row>
    <row r="31" spans="1:7">
      <c r="B31" s="2" t="s">
        <v>84</v>
      </c>
      <c r="C31" s="2" t="s">
        <v>85</v>
      </c>
      <c r="D31" s="2" t="s">
        <v>86</v>
      </c>
      <c r="E31" s="2">
        <v>1</v>
      </c>
      <c r="F31" s="2" t="s">
        <v>75</v>
      </c>
      <c r="G31" s="2" t="s">
        <v>84</v>
      </c>
    </row>
    <row r="32" spans="1:7">
      <c r="B32" s="2">
        <v>61300211121</v>
      </c>
      <c r="C32" s="2"/>
      <c r="D32" s="2" t="s">
        <v>87</v>
      </c>
      <c r="E32" s="2">
        <v>10</v>
      </c>
      <c r="F32" s="2" t="s">
        <v>75</v>
      </c>
      <c r="G32" s="2">
        <v>61300211121</v>
      </c>
    </row>
    <row r="33" spans="1:7">
      <c r="B33" s="2">
        <v>61301021121</v>
      </c>
      <c r="C33" s="2"/>
      <c r="D33" s="2" t="s">
        <v>88</v>
      </c>
      <c r="E33" s="2">
        <v>5</v>
      </c>
      <c r="F33" s="2" t="s">
        <v>75</v>
      </c>
      <c r="G33" s="2">
        <v>61301021121</v>
      </c>
    </row>
    <row r="34" spans="1:7">
      <c r="B34" s="2" t="s">
        <v>89</v>
      </c>
      <c r="C34" s="2" t="s">
        <v>90</v>
      </c>
      <c r="D34" s="2" t="s">
        <v>91</v>
      </c>
      <c r="E34" s="2">
        <v>4</v>
      </c>
      <c r="F34" s="2" t="s">
        <v>92</v>
      </c>
      <c r="G34" s="2" t="s">
        <v>89</v>
      </c>
    </row>
    <row r="35" spans="1:7">
      <c r="B35" s="2" t="s">
        <v>93</v>
      </c>
      <c r="C35" s="2" t="s">
        <v>213</v>
      </c>
      <c r="D35" s="2" t="s">
        <v>94</v>
      </c>
      <c r="E35" s="2">
        <v>1</v>
      </c>
      <c r="F35" s="2" t="s">
        <v>95</v>
      </c>
      <c r="G35" s="2" t="s">
        <v>93</v>
      </c>
    </row>
    <row r="36" spans="1:7">
      <c r="B36" s="2" t="s">
        <v>96</v>
      </c>
      <c r="C36" s="2" t="s">
        <v>214</v>
      </c>
      <c r="D36" s="2" t="s">
        <v>97</v>
      </c>
      <c r="E36" s="2">
        <v>1</v>
      </c>
      <c r="F36" s="2" t="s">
        <v>98</v>
      </c>
      <c r="G36" s="2" t="s">
        <v>96</v>
      </c>
    </row>
    <row r="37" spans="1:7">
      <c r="B37" s="7" t="s">
        <v>99</v>
      </c>
      <c r="C37" s="7" t="s">
        <v>215</v>
      </c>
      <c r="D37" s="7" t="s">
        <v>100</v>
      </c>
      <c r="E37" s="7">
        <v>9</v>
      </c>
      <c r="F37" s="7" t="s">
        <v>27</v>
      </c>
      <c r="G37" s="7" t="s">
        <v>99</v>
      </c>
    </row>
    <row r="38" spans="1:7">
      <c r="B38" s="7" t="s">
        <v>101</v>
      </c>
      <c r="C38" s="7" t="s">
        <v>212</v>
      </c>
      <c r="D38" s="7" t="s">
        <v>102</v>
      </c>
      <c r="E38" s="7">
        <v>1</v>
      </c>
      <c r="F38" s="7" t="s">
        <v>27</v>
      </c>
      <c r="G38" s="7" t="s">
        <v>103</v>
      </c>
    </row>
    <row r="39" spans="1:7">
      <c r="B39" s="7" t="s">
        <v>104</v>
      </c>
      <c r="C39" s="7" t="s">
        <v>216</v>
      </c>
      <c r="D39" s="7" t="s">
        <v>105</v>
      </c>
      <c r="E39" s="7">
        <v>1</v>
      </c>
      <c r="F39" s="7" t="s">
        <v>106</v>
      </c>
      <c r="G39" s="7" t="s">
        <v>104</v>
      </c>
    </row>
    <row r="40" spans="1:7">
      <c r="B40" s="7" t="s">
        <v>107</v>
      </c>
      <c r="C40" s="7" t="s">
        <v>217</v>
      </c>
      <c r="D40" s="7" t="s">
        <v>108</v>
      </c>
      <c r="E40" s="7">
        <v>1</v>
      </c>
      <c r="F40" s="7" t="s">
        <v>27</v>
      </c>
      <c r="G40" s="7" t="s">
        <v>109</v>
      </c>
    </row>
    <row r="41" spans="1:7">
      <c r="B41" s="2" t="s">
        <v>110</v>
      </c>
      <c r="C41" s="2" t="s">
        <v>218</v>
      </c>
      <c r="D41" s="2" t="s">
        <v>111</v>
      </c>
      <c r="E41" s="2">
        <v>1</v>
      </c>
      <c r="F41" s="2" t="s">
        <v>27</v>
      </c>
      <c r="G41" s="2" t="s">
        <v>110</v>
      </c>
    </row>
    <row r="42" spans="1:7">
      <c r="B42" s="7" t="s">
        <v>112</v>
      </c>
      <c r="C42" s="7" t="s">
        <v>219</v>
      </c>
      <c r="D42" s="7" t="s">
        <v>113</v>
      </c>
      <c r="E42" s="7">
        <v>1</v>
      </c>
      <c r="F42" s="7" t="s">
        <v>98</v>
      </c>
      <c r="G42" s="7" t="s">
        <v>112</v>
      </c>
    </row>
    <row r="43" spans="1:7">
      <c r="B43" s="2" t="s">
        <v>114</v>
      </c>
      <c r="C43" s="2" t="s">
        <v>220</v>
      </c>
      <c r="D43" s="2" t="s">
        <v>115</v>
      </c>
      <c r="E43" s="2">
        <v>1</v>
      </c>
      <c r="F43" s="2" t="s">
        <v>27</v>
      </c>
      <c r="G43" s="2" t="s">
        <v>114</v>
      </c>
    </row>
    <row r="44" spans="1:7">
      <c r="B44" s="7" t="s">
        <v>116</v>
      </c>
      <c r="C44" s="7" t="s">
        <v>221</v>
      </c>
      <c r="D44" s="7" t="s">
        <v>117</v>
      </c>
      <c r="E44" s="7">
        <v>4</v>
      </c>
      <c r="F44" s="7" t="s">
        <v>27</v>
      </c>
      <c r="G44" s="7" t="s">
        <v>118</v>
      </c>
    </row>
    <row r="45" spans="1:7">
      <c r="B45" s="7" t="s">
        <v>119</v>
      </c>
      <c r="C45" s="7" t="s">
        <v>222</v>
      </c>
      <c r="D45" s="7" t="s">
        <v>120</v>
      </c>
      <c r="E45" s="7">
        <v>4</v>
      </c>
      <c r="F45" s="7" t="s">
        <v>27</v>
      </c>
      <c r="G45" s="7" t="s">
        <v>121</v>
      </c>
    </row>
    <row r="46" spans="1:7">
      <c r="B46" s="7" t="s">
        <v>122</v>
      </c>
      <c r="C46" s="7" t="s">
        <v>223</v>
      </c>
      <c r="D46" s="7" t="s">
        <v>123</v>
      </c>
      <c r="E46" s="7">
        <v>4</v>
      </c>
      <c r="F46" s="7" t="s">
        <v>98</v>
      </c>
      <c r="G46" s="7" t="s">
        <v>122</v>
      </c>
    </row>
    <row r="47" spans="1:7">
      <c r="B47" s="7" t="s">
        <v>124</v>
      </c>
      <c r="C47" s="7" t="s">
        <v>224</v>
      </c>
      <c r="D47" s="7" t="s">
        <v>125</v>
      </c>
      <c r="E47" s="7">
        <v>7</v>
      </c>
      <c r="F47" s="7" t="s">
        <v>34</v>
      </c>
      <c r="G47" s="7" t="s">
        <v>124</v>
      </c>
    </row>
    <row r="48" spans="1:7">
      <c r="A48" s="3" t="s">
        <v>253</v>
      </c>
      <c r="B48" s="7" t="s">
        <v>126</v>
      </c>
      <c r="C48" s="7" t="s">
        <v>225</v>
      </c>
      <c r="D48" s="7" t="s">
        <v>127</v>
      </c>
      <c r="E48" s="7">
        <v>4</v>
      </c>
      <c r="F48" s="7" t="s">
        <v>27</v>
      </c>
      <c r="G48" s="7" t="s">
        <v>128</v>
      </c>
    </row>
    <row r="49" spans="1:7">
      <c r="B49" s="2" t="s">
        <v>129</v>
      </c>
      <c r="C49" s="2" t="s">
        <v>226</v>
      </c>
      <c r="D49" s="2" t="s">
        <v>130</v>
      </c>
      <c r="E49" s="2">
        <v>1</v>
      </c>
      <c r="F49" s="2" t="s">
        <v>98</v>
      </c>
      <c r="G49" s="2" t="s">
        <v>129</v>
      </c>
    </row>
    <row r="50" spans="1:7">
      <c r="B50" s="7" t="s">
        <v>131</v>
      </c>
      <c r="C50" s="7" t="s">
        <v>227</v>
      </c>
      <c r="D50" s="7" t="s">
        <v>132</v>
      </c>
      <c r="E50" s="7">
        <v>2</v>
      </c>
      <c r="F50" s="7" t="s">
        <v>34</v>
      </c>
      <c r="G50" s="7" t="s">
        <v>131</v>
      </c>
    </row>
    <row r="51" spans="1:7">
      <c r="B51" s="2" t="s">
        <v>133</v>
      </c>
      <c r="C51" s="2" t="s">
        <v>228</v>
      </c>
      <c r="D51" s="2" t="s">
        <v>134</v>
      </c>
      <c r="E51" s="2">
        <v>2</v>
      </c>
      <c r="F51" s="2" t="s">
        <v>106</v>
      </c>
      <c r="G51" s="2" t="s">
        <v>133</v>
      </c>
    </row>
    <row r="52" spans="1:7">
      <c r="B52" s="2" t="s">
        <v>135</v>
      </c>
      <c r="C52" s="2" t="s">
        <v>229</v>
      </c>
      <c r="D52" s="2" t="s">
        <v>136</v>
      </c>
      <c r="E52" s="2">
        <v>3</v>
      </c>
      <c r="F52" s="2" t="s">
        <v>34</v>
      </c>
      <c r="G52" s="2" t="s">
        <v>135</v>
      </c>
    </row>
    <row r="53" spans="1:7">
      <c r="B53" s="7" t="s">
        <v>137</v>
      </c>
      <c r="C53" s="7" t="s">
        <v>230</v>
      </c>
      <c r="D53" s="7" t="s">
        <v>138</v>
      </c>
      <c r="E53" s="7">
        <v>1</v>
      </c>
      <c r="F53" s="7" t="s">
        <v>98</v>
      </c>
      <c r="G53" s="7" t="s">
        <v>137</v>
      </c>
    </row>
    <row r="54" spans="1:7">
      <c r="B54" s="7" t="s">
        <v>139</v>
      </c>
      <c r="C54" s="7" t="s">
        <v>217</v>
      </c>
      <c r="D54" s="7" t="s">
        <v>140</v>
      </c>
      <c r="E54" s="7">
        <v>4</v>
      </c>
      <c r="F54" s="7" t="s">
        <v>106</v>
      </c>
      <c r="G54" s="7" t="s">
        <v>139</v>
      </c>
    </row>
    <row r="55" spans="1:7">
      <c r="B55" s="7" t="s">
        <v>141</v>
      </c>
      <c r="C55" s="7" t="s">
        <v>231</v>
      </c>
      <c r="D55" s="7" t="s">
        <v>142</v>
      </c>
      <c r="E55" s="7">
        <v>2</v>
      </c>
      <c r="F55" s="7" t="s">
        <v>34</v>
      </c>
      <c r="G55" s="7" t="s">
        <v>141</v>
      </c>
    </row>
    <row r="56" spans="1:7">
      <c r="B56" s="7" t="s">
        <v>143</v>
      </c>
      <c r="C56" s="7" t="s">
        <v>232</v>
      </c>
      <c r="D56" s="7" t="s">
        <v>144</v>
      </c>
      <c r="E56" s="7">
        <v>1</v>
      </c>
      <c r="F56" s="7" t="s">
        <v>34</v>
      </c>
      <c r="G56" s="7" t="s">
        <v>143</v>
      </c>
    </row>
    <row r="57" spans="1:7">
      <c r="B57" s="7" t="s">
        <v>145</v>
      </c>
      <c r="C57" s="7" t="s">
        <v>212</v>
      </c>
      <c r="D57" s="7" t="s">
        <v>146</v>
      </c>
      <c r="E57" s="7">
        <v>1</v>
      </c>
      <c r="F57" s="7" t="s">
        <v>98</v>
      </c>
      <c r="G57" s="7" t="s">
        <v>145</v>
      </c>
    </row>
    <row r="58" spans="1:7">
      <c r="B58" s="2" t="s">
        <v>147</v>
      </c>
      <c r="C58" s="2" t="s">
        <v>233</v>
      </c>
      <c r="D58" s="2" t="s">
        <v>148</v>
      </c>
      <c r="E58" s="2">
        <v>1</v>
      </c>
      <c r="F58" s="2" t="s">
        <v>34</v>
      </c>
      <c r="G58" s="2" t="s">
        <v>147</v>
      </c>
    </row>
    <row r="59" spans="1:7">
      <c r="B59" s="2" t="s">
        <v>149</v>
      </c>
      <c r="C59" s="2" t="s">
        <v>229</v>
      </c>
      <c r="D59" s="2" t="s">
        <v>150</v>
      </c>
      <c r="E59" s="2">
        <v>1</v>
      </c>
      <c r="F59" s="2" t="s">
        <v>34</v>
      </c>
      <c r="G59" s="2" t="s">
        <v>135</v>
      </c>
    </row>
    <row r="60" spans="1:7">
      <c r="B60" s="2" t="s">
        <v>151</v>
      </c>
      <c r="C60" s="2" t="s">
        <v>152</v>
      </c>
      <c r="D60" s="2" t="s">
        <v>153</v>
      </c>
      <c r="E60" s="2">
        <v>2</v>
      </c>
      <c r="F60" s="2" t="s">
        <v>154</v>
      </c>
      <c r="G60" s="2" t="s">
        <v>151</v>
      </c>
    </row>
    <row r="61" spans="1:7">
      <c r="B61" s="2" t="s">
        <v>155</v>
      </c>
      <c r="C61" s="2" t="s">
        <v>156</v>
      </c>
      <c r="D61" s="2" t="s">
        <v>157</v>
      </c>
      <c r="E61" s="2">
        <v>4</v>
      </c>
      <c r="F61" s="2" t="s">
        <v>154</v>
      </c>
      <c r="G61" s="2" t="s">
        <v>155</v>
      </c>
    </row>
    <row r="62" spans="1:7">
      <c r="A62" s="8" t="s">
        <v>211</v>
      </c>
      <c r="B62" s="8" t="s">
        <v>158</v>
      </c>
      <c r="C62" s="8"/>
      <c r="D62" s="8" t="s">
        <v>159</v>
      </c>
      <c r="E62" s="8">
        <v>1</v>
      </c>
      <c r="F62" s="8"/>
      <c r="G62" s="8"/>
    </row>
    <row r="63" spans="1:7">
      <c r="B63" s="2" t="s">
        <v>160</v>
      </c>
      <c r="C63" s="2" t="s">
        <v>161</v>
      </c>
      <c r="D63" s="2" t="s">
        <v>162</v>
      </c>
      <c r="E63" s="2">
        <v>1</v>
      </c>
      <c r="F63" s="2" t="s">
        <v>163</v>
      </c>
      <c r="G63" s="2" t="s">
        <v>160</v>
      </c>
    </row>
    <row r="64" spans="1:7">
      <c r="B64" s="2" t="s">
        <v>164</v>
      </c>
      <c r="C64" s="2"/>
      <c r="D64" s="2" t="s">
        <v>165</v>
      </c>
      <c r="E64" s="2">
        <v>1</v>
      </c>
      <c r="F64" s="2" t="s">
        <v>166</v>
      </c>
      <c r="G64" s="2" t="s">
        <v>167</v>
      </c>
    </row>
    <row r="65" spans="1:7">
      <c r="B65" s="2" t="s">
        <v>168</v>
      </c>
      <c r="C65" s="2" t="s">
        <v>169</v>
      </c>
      <c r="D65" s="2" t="s">
        <v>170</v>
      </c>
      <c r="E65" s="2">
        <v>1</v>
      </c>
      <c r="F65" s="2" t="s">
        <v>166</v>
      </c>
      <c r="G65" s="2" t="s">
        <v>171</v>
      </c>
    </row>
    <row r="66" spans="1:7">
      <c r="A66" s="3" t="s">
        <v>265</v>
      </c>
      <c r="B66" s="2" t="s">
        <v>172</v>
      </c>
      <c r="C66" s="2" t="s">
        <v>173</v>
      </c>
      <c r="D66" s="2" t="s">
        <v>174</v>
      </c>
      <c r="E66" s="2">
        <v>1</v>
      </c>
      <c r="F66" s="2" t="s">
        <v>175</v>
      </c>
      <c r="G66" s="2" t="s">
        <v>172</v>
      </c>
    </row>
    <row r="67" spans="1:7">
      <c r="B67" s="2" t="s">
        <v>176</v>
      </c>
      <c r="C67" s="2" t="s">
        <v>177</v>
      </c>
      <c r="D67" s="2" t="s">
        <v>178</v>
      </c>
      <c r="E67" s="2">
        <v>1</v>
      </c>
      <c r="F67" s="2" t="s">
        <v>166</v>
      </c>
      <c r="G67" s="2" t="s">
        <v>179</v>
      </c>
    </row>
    <row r="68" spans="1:7">
      <c r="B68" s="2" t="s">
        <v>180</v>
      </c>
      <c r="C68" s="2" t="s">
        <v>181</v>
      </c>
      <c r="D68" s="2" t="s">
        <v>182</v>
      </c>
      <c r="E68" s="2">
        <v>1</v>
      </c>
      <c r="F68" s="2" t="s">
        <v>183</v>
      </c>
      <c r="G68" s="2" t="s">
        <v>180</v>
      </c>
    </row>
    <row r="69" spans="1:7">
      <c r="B69" s="2" t="s">
        <v>184</v>
      </c>
      <c r="C69" s="2" t="s">
        <v>185</v>
      </c>
      <c r="D69" s="2" t="s">
        <v>186</v>
      </c>
      <c r="E69" s="2">
        <v>1</v>
      </c>
      <c r="F69" s="2" t="s">
        <v>183</v>
      </c>
      <c r="G69" s="2" t="s">
        <v>184</v>
      </c>
    </row>
    <row r="70" spans="1:7">
      <c r="A70" s="3" t="s">
        <v>265</v>
      </c>
      <c r="B70" s="2" t="s">
        <v>187</v>
      </c>
      <c r="C70" s="2" t="s">
        <v>188</v>
      </c>
      <c r="D70" s="2" t="s">
        <v>189</v>
      </c>
      <c r="E70" s="2">
        <v>1</v>
      </c>
      <c r="F70" s="2" t="s">
        <v>183</v>
      </c>
      <c r="G70" s="2" t="s">
        <v>187</v>
      </c>
    </row>
    <row r="71" spans="1:7">
      <c r="B71" s="2" t="s">
        <v>190</v>
      </c>
      <c r="C71" s="2" t="s">
        <v>191</v>
      </c>
      <c r="D71" s="2" t="s">
        <v>192</v>
      </c>
      <c r="E71" s="2">
        <v>1</v>
      </c>
      <c r="F71" s="2" t="s">
        <v>193</v>
      </c>
      <c r="G71" s="2" t="s">
        <v>194</v>
      </c>
    </row>
    <row r="72" spans="1:7">
      <c r="B72" s="2" t="s">
        <v>195</v>
      </c>
      <c r="C72" s="2" t="s">
        <v>196</v>
      </c>
      <c r="D72" s="2" t="s">
        <v>197</v>
      </c>
      <c r="E72" s="2">
        <v>1</v>
      </c>
      <c r="F72" s="2" t="s">
        <v>183</v>
      </c>
      <c r="G72" s="2" t="s">
        <v>195</v>
      </c>
    </row>
    <row r="73" spans="1:7">
      <c r="B73" s="2" t="s">
        <v>198</v>
      </c>
      <c r="C73" s="2" t="s">
        <v>199</v>
      </c>
      <c r="D73" s="2" t="s">
        <v>200</v>
      </c>
      <c r="E73" s="2">
        <v>1</v>
      </c>
      <c r="F73" s="2" t="s">
        <v>201</v>
      </c>
      <c r="G73" s="2" t="s">
        <v>198</v>
      </c>
    </row>
    <row r="74" spans="1:7">
      <c r="B74" s="2" t="s">
        <v>202</v>
      </c>
      <c r="C74" s="2" t="s">
        <v>203</v>
      </c>
      <c r="D74" s="2" t="s">
        <v>204</v>
      </c>
      <c r="E74" s="2">
        <v>1</v>
      </c>
      <c r="F74" s="2" t="s">
        <v>205</v>
      </c>
      <c r="G74" s="2" t="s">
        <v>202</v>
      </c>
    </row>
    <row r="75" spans="1:7">
      <c r="B75" s="2" t="s">
        <v>206</v>
      </c>
      <c r="C75" s="2" t="s">
        <v>207</v>
      </c>
      <c r="D75" s="2" t="s">
        <v>208</v>
      </c>
      <c r="E75" s="2">
        <v>1</v>
      </c>
      <c r="F75" s="2" t="s">
        <v>205</v>
      </c>
      <c r="G75" s="2" t="s">
        <v>206</v>
      </c>
    </row>
    <row r="76" spans="1:7">
      <c r="A76" s="3" t="s">
        <v>266</v>
      </c>
      <c r="B76" s="2" t="s">
        <v>234</v>
      </c>
      <c r="C76" s="2" t="s">
        <v>209</v>
      </c>
      <c r="D76" s="2" t="s">
        <v>210</v>
      </c>
      <c r="E76" s="2">
        <v>1</v>
      </c>
      <c r="F76" s="2"/>
      <c r="G76" s="2"/>
    </row>
    <row r="78" spans="1:7" ht="13" thickBot="1"/>
    <row r="79" spans="1:7">
      <c r="A79" s="4" t="s">
        <v>254</v>
      </c>
      <c r="B79" s="9" t="s">
        <v>104</v>
      </c>
      <c r="C79" s="9" t="s">
        <v>256</v>
      </c>
      <c r="D79" s="9"/>
      <c r="E79" s="9">
        <f>E38+E39+E57</f>
        <v>3</v>
      </c>
      <c r="F79" s="9"/>
      <c r="G79" s="10"/>
    </row>
    <row r="80" spans="1:7">
      <c r="A80" s="5"/>
      <c r="B80" s="2" t="s">
        <v>99</v>
      </c>
      <c r="C80" s="2" t="s">
        <v>255</v>
      </c>
      <c r="D80" s="2"/>
      <c r="E80" s="2">
        <f>E37+E47</f>
        <v>16</v>
      </c>
      <c r="F80" s="2"/>
      <c r="G80" s="11"/>
    </row>
    <row r="81" spans="1:7">
      <c r="A81" s="5"/>
      <c r="B81" s="2" t="s">
        <v>116</v>
      </c>
      <c r="C81" s="2" t="s">
        <v>259</v>
      </c>
      <c r="D81" s="2"/>
      <c r="E81" s="2">
        <f>E44</f>
        <v>4</v>
      </c>
      <c r="F81" s="2"/>
      <c r="G81" s="11"/>
    </row>
    <row r="82" spans="1:7">
      <c r="A82" s="5"/>
      <c r="B82" s="2" t="s">
        <v>137</v>
      </c>
      <c r="C82" s="2" t="s">
        <v>263</v>
      </c>
      <c r="D82" s="2"/>
      <c r="E82" s="2">
        <f>E53</f>
        <v>1</v>
      </c>
      <c r="F82" s="2"/>
      <c r="G82" s="11"/>
    </row>
    <row r="83" spans="1:7">
      <c r="A83" s="5"/>
      <c r="B83" s="2" t="s">
        <v>119</v>
      </c>
      <c r="C83" s="2" t="s">
        <v>260</v>
      </c>
      <c r="D83" s="2"/>
      <c r="E83" s="2">
        <f>E45+E56</f>
        <v>5</v>
      </c>
      <c r="F83" s="2"/>
      <c r="G83" s="11"/>
    </row>
    <row r="84" spans="1:7">
      <c r="A84" s="5"/>
      <c r="B84" s="2" t="s">
        <v>131</v>
      </c>
      <c r="C84" s="2" t="s">
        <v>262</v>
      </c>
      <c r="D84" s="2"/>
      <c r="E84" s="2">
        <f>E50</f>
        <v>2</v>
      </c>
      <c r="F84" s="2"/>
      <c r="G84" s="11"/>
    </row>
    <row r="85" spans="1:7">
      <c r="A85" s="5"/>
      <c r="B85" s="2" t="s">
        <v>107</v>
      </c>
      <c r="C85" s="2" t="s">
        <v>257</v>
      </c>
      <c r="D85" s="2"/>
      <c r="E85" s="2">
        <f>E40+E54</f>
        <v>5</v>
      </c>
      <c r="F85" s="2"/>
      <c r="G85" s="11"/>
    </row>
    <row r="86" spans="1:7">
      <c r="A86" s="5"/>
      <c r="B86" s="2" t="s">
        <v>122</v>
      </c>
      <c r="C86" s="2" t="s">
        <v>261</v>
      </c>
      <c r="D86" s="2"/>
      <c r="E86" s="2">
        <f>E46+E48</f>
        <v>8</v>
      </c>
      <c r="F86" s="2"/>
      <c r="G86" s="11"/>
    </row>
    <row r="87" spans="1:7">
      <c r="A87" s="5"/>
      <c r="B87" s="2" t="s">
        <v>112</v>
      </c>
      <c r="C87" s="2" t="s">
        <v>258</v>
      </c>
      <c r="D87" s="2"/>
      <c r="E87" s="2">
        <f>E42</f>
        <v>1</v>
      </c>
      <c r="F87" s="2"/>
      <c r="G87" s="11"/>
    </row>
    <row r="88" spans="1:7" ht="13" thickBot="1">
      <c r="A88" s="6"/>
      <c r="B88" s="12" t="s">
        <v>141</v>
      </c>
      <c r="C88" s="12" t="s">
        <v>264</v>
      </c>
      <c r="D88" s="12"/>
      <c r="E88" s="12">
        <f>E55</f>
        <v>2</v>
      </c>
      <c r="F88" s="12"/>
      <c r="G88" s="13"/>
    </row>
    <row r="89" spans="1:7">
      <c r="D89">
        <f>E37+E38+E39+E40+E42+E44+E45+E46+E47+E48+E50+E53+E54+E55+E56+E57</f>
        <v>47</v>
      </c>
      <c r="E89">
        <f>SUM(E79:E88)</f>
        <v>47</v>
      </c>
    </row>
    <row r="90" spans="1:7" ht="13" thickBot="1"/>
    <row r="91" spans="1:7">
      <c r="A91" s="4" t="s">
        <v>267</v>
      </c>
      <c r="B91" s="9" t="s">
        <v>268</v>
      </c>
      <c r="C91" s="9" t="s">
        <v>269</v>
      </c>
      <c r="D91" s="9"/>
      <c r="E91" s="9">
        <f>E4+E6</f>
        <v>2</v>
      </c>
      <c r="F91" s="9"/>
      <c r="G91" s="10"/>
    </row>
    <row r="92" spans="1:7">
      <c r="A92" s="5"/>
      <c r="B92" s="2" t="s">
        <v>47</v>
      </c>
      <c r="C92" s="2" t="s">
        <v>251</v>
      </c>
      <c r="D92" s="2"/>
      <c r="E92" s="2">
        <f>E18</f>
        <v>3</v>
      </c>
      <c r="F92" s="2"/>
      <c r="G92" s="11"/>
    </row>
    <row r="93" spans="1:7">
      <c r="A93" s="5"/>
      <c r="B93" s="2" t="s">
        <v>270</v>
      </c>
      <c r="C93" s="2" t="s">
        <v>271</v>
      </c>
      <c r="D93" s="2"/>
      <c r="E93" s="2">
        <f>E13</f>
        <v>2</v>
      </c>
      <c r="F93" s="2"/>
      <c r="G93" s="11"/>
    </row>
    <row r="94" spans="1:7">
      <c r="A94" s="5"/>
      <c r="B94" s="2" t="s">
        <v>15</v>
      </c>
      <c r="C94" s="2" t="s">
        <v>238</v>
      </c>
      <c r="D94" s="2"/>
      <c r="E94" s="2">
        <f>E5</f>
        <v>2</v>
      </c>
      <c r="F94" s="2"/>
      <c r="G94" s="11"/>
    </row>
    <row r="95" spans="1:7">
      <c r="A95" s="5"/>
      <c r="B95" s="2" t="s">
        <v>35</v>
      </c>
      <c r="C95" s="2" t="s">
        <v>245</v>
      </c>
      <c r="D95" s="2"/>
      <c r="E95" s="2">
        <f>E3+E7+E12</f>
        <v>32</v>
      </c>
      <c r="F95" s="2"/>
      <c r="G95" s="11"/>
    </row>
    <row r="96" spans="1:7">
      <c r="A96" s="5"/>
      <c r="B96" s="2" t="s">
        <v>50</v>
      </c>
      <c r="C96" s="2" t="s">
        <v>252</v>
      </c>
      <c r="D96" s="2"/>
      <c r="E96" s="2">
        <f>E19</f>
        <v>2</v>
      </c>
      <c r="F96" s="2"/>
      <c r="G96" s="11"/>
    </row>
    <row r="97" spans="1:7">
      <c r="A97" s="5"/>
      <c r="B97" s="2" t="s">
        <v>38</v>
      </c>
      <c r="C97" s="2" t="s">
        <v>247</v>
      </c>
      <c r="D97" s="2"/>
      <c r="E97" s="2">
        <f>E14</f>
        <v>2</v>
      </c>
      <c r="F97" s="2"/>
      <c r="G97" s="11"/>
    </row>
    <row r="98" spans="1:7" ht="13" thickBot="1">
      <c r="A98" s="6"/>
      <c r="B98" s="12" t="s">
        <v>272</v>
      </c>
      <c r="C98" s="12" t="s">
        <v>236</v>
      </c>
      <c r="D98" s="12"/>
      <c r="E98" s="12">
        <f>E2</f>
        <v>2</v>
      </c>
      <c r="F98" s="12"/>
      <c r="G98" s="13"/>
    </row>
    <row r="99" spans="1:7">
      <c r="D99">
        <f>E2+E3+E4+E5+E6+E7+E12+E13+E14+E18+E19</f>
        <v>47</v>
      </c>
      <c r="E99">
        <f>SUM(E91:E98)</f>
        <v>47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Eckstein</dc:creator>
  <cp:lastModifiedBy>Stefan Hörtnagl</cp:lastModifiedBy>
  <cp:revision>1</cp:revision>
  <dcterms:created xsi:type="dcterms:W3CDTF">2025-06-03T10:49:20Z</dcterms:created>
  <dcterms:modified xsi:type="dcterms:W3CDTF">2025-06-03T15:38:19Z</dcterms:modified>
</cp:coreProperties>
</file>